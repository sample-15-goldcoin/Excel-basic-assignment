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ata Ghosh\Downloads\"/>
    </mc:Choice>
  </mc:AlternateContent>
  <xr:revisionPtr revIDLastSave="0" documentId="8_{28DFCA7E-AFB4-46D4-8D0D-4A337C2ACDCD}" xr6:coauthVersionLast="45" xr6:coauthVersionMax="45" xr10:uidLastSave="{00000000-0000-0000-0000-000000000000}"/>
  <bookViews>
    <workbookView xWindow="-120" yWindow="-120" windowWidth="20730" windowHeight="11160" xr2:uid="{A436CFFE-A2A8-4467-9BAB-FAF214DFE0C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36" i="1" l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35" i="1"/>
  <c r="F77" i="1" l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76" i="1"/>
  <c r="H28" i="1" l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20" i="1"/>
  <c r="H21" i="1"/>
  <c r="H22" i="1"/>
  <c r="H23" i="1"/>
  <c r="H24" i="1"/>
  <c r="H25" i="1"/>
  <c r="H26" i="1"/>
  <c r="H27" i="1"/>
  <c r="H19" i="1"/>
  <c r="B70" i="1" s="1"/>
  <c r="B69" i="1"/>
  <c r="B14" i="1"/>
  <c r="B6" i="1" l="1"/>
</calcChain>
</file>

<file path=xl/sharedStrings.xml><?xml version="1.0" encoding="utf-8"?>
<sst xmlns="http://schemas.openxmlformats.org/spreadsheetml/2006/main" count="337" uniqueCount="90">
  <si>
    <t>2)</t>
  </si>
  <si>
    <t>Vehicle</t>
  </si>
  <si>
    <t>Car</t>
  </si>
  <si>
    <t>Bicycle</t>
  </si>
  <si>
    <t>Auto-Rickshaw</t>
  </si>
  <si>
    <t>Price</t>
  </si>
  <si>
    <t xml:space="preserve">Total sales of car and bicycle </t>
  </si>
  <si>
    <t>Item A</t>
  </si>
  <si>
    <t>Item B</t>
  </si>
  <si>
    <t>Item C</t>
  </si>
  <si>
    <t xml:space="preserve">Sales </t>
  </si>
  <si>
    <t>Region</t>
  </si>
  <si>
    <t>Quantity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</si>
  <si>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</si>
  <si>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</si>
  <si>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</si>
  <si>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</si>
  <si>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</si>
  <si>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</si>
  <si>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</si>
  <si>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</si>
  <si>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</si>
  <si>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</si>
  <si>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</si>
  <si>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</si>
  <si>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</si>
  <si>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</si>
  <si>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</si>
  <si>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</si>
  <si>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Meera Nair</t>
  </si>
  <si>
    <t>Anjali Rao</t>
  </si>
  <si>
    <t>Manoj Das</t>
  </si>
  <si>
    <t>Ritika Sen</t>
  </si>
  <si>
    <t>Karan Malhotra</t>
  </si>
  <si>
    <t>Aryan Joshi</t>
  </si>
  <si>
    <t>Divya Kapoor</t>
  </si>
  <si>
    <t>Sahil Arora</t>
  </si>
  <si>
    <t>Muskan Jain</t>
  </si>
  <si>
    <t>Rohan Gupta</t>
  </si>
  <si>
    <t>Nidhi Sharma</t>
  </si>
  <si>
    <t>Tarun Verma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</si>
  <si>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</si>
  <si>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</si>
  <si>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</si>
  <si>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</si>
  <si>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</si>
  <si>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</si>
  <si>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</si>
  <si>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</si>
  <si>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</si>
  <si>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</si>
  <si>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</si>
  <si>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Harsh Yadav</t>
  </si>
  <si>
    <t>Kajal Rani</t>
  </si>
  <si>
    <t>Varun Sharma</t>
  </si>
  <si>
    <t>Swati Arora</t>
  </si>
  <si>
    <t>Akhil Jain</t>
  </si>
  <si>
    <t>Priyanka Das</t>
  </si>
  <si>
    <t>Ravi Nair</t>
  </si>
  <si>
    <t>Komal Singh</t>
  </si>
  <si>
    <t>Ayesha Khan</t>
  </si>
  <si>
    <t>Arjun Mehta</t>
  </si>
  <si>
    <t>Sonali Gupta</t>
  </si>
  <si>
    <t>Neeraj Kapoor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</si>
  <si>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</si>
  <si>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</si>
  <si>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</si>
  <si>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</si>
  <si>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</si>
  <si>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</si>
  <si>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</si>
  <si>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</si>
  <si>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Order Id</t>
  </si>
  <si>
    <t>4)</t>
  </si>
  <si>
    <t>3)</t>
  </si>
  <si>
    <t>Items</t>
  </si>
  <si>
    <r>
      <rPr>
        <sz val="11"/>
        <color theme="1"/>
        <rFont val="Aharoni"/>
      </rPr>
      <t xml:space="preserve">The average sales of items priced above </t>
    </r>
    <r>
      <rPr>
        <sz val="16"/>
        <color theme="1"/>
        <rFont val="Aharoni"/>
      </rPr>
      <t xml:space="preserve">100 </t>
    </r>
    <r>
      <rPr>
        <sz val="11"/>
        <color theme="1"/>
        <rFont val="Aharoni"/>
      </rPr>
      <t xml:space="preserve">but less than </t>
    </r>
    <r>
      <rPr>
        <sz val="16"/>
        <color theme="1"/>
        <rFont val="Aharoni"/>
      </rPr>
      <t>300</t>
    </r>
  </si>
  <si>
    <t>Customer Name</t>
  </si>
  <si>
    <t xml:space="preserve">Product </t>
  </si>
  <si>
    <t>Unit price</t>
  </si>
  <si>
    <t>Order Date</t>
  </si>
  <si>
    <r>
      <rPr>
        <b/>
        <sz val="16"/>
        <color theme="1"/>
        <rFont val="Aharoni"/>
      </rPr>
      <t>5</t>
    </r>
    <r>
      <rPr>
        <b/>
        <sz val="11"/>
        <color theme="1"/>
        <rFont val="Aharoni"/>
      </rPr>
      <t>)Total sales of each row</t>
    </r>
  </si>
  <si>
    <t>Product</t>
  </si>
  <si>
    <t>UnitPrice</t>
  </si>
  <si>
    <t>Total sales</t>
  </si>
  <si>
    <t>7)</t>
  </si>
  <si>
    <r>
      <rPr>
        <sz val="16"/>
        <color theme="1"/>
        <rFont val="Aharoni"/>
      </rPr>
      <t>4)</t>
    </r>
    <r>
      <rPr>
        <sz val="12"/>
        <color theme="1"/>
        <rFont val="Aharoni"/>
      </rPr>
      <t>Total customer names</t>
    </r>
  </si>
  <si>
    <r>
      <rPr>
        <sz val="16"/>
        <color theme="1"/>
        <rFont val="Aharoni"/>
      </rPr>
      <t>6)</t>
    </r>
    <r>
      <rPr>
        <sz val="11"/>
        <color theme="1"/>
        <rFont val="Aharoni"/>
      </rPr>
      <t>Total sales of notebook in northern region</t>
    </r>
  </si>
  <si>
    <t>OrderDate</t>
  </si>
  <si>
    <t>Total sales of each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</si>
</sst>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Aharoni"/>
      <charset val="177"/>
    </font>
    <font>
      <sz val="10"/>
      <color theme="1"/>
      <name val="Arial"/>
      <family val="2"/>
    </font>
    <font>
      <b/>
      <sz val="11"/>
      <color theme="1"/>
      <name val="Aharoni"/>
    </font>
    <font>
      <sz val="11"/>
      <color theme="1"/>
      <name val="Aharoni"/>
    </font>
    <font>
      <sz val="16"/>
      <color theme="1"/>
      <name val="Aharoni"/>
    </font>
    <font>
      <sz val="12"/>
      <color theme="1"/>
      <name val="Aharoni"/>
    </font>
    <font>
      <sz val="14"/>
      <color theme="1"/>
      <name val="Aharoni"/>
    </font>
    <font>
      <b/>
      <sz val="16"/>
      <color theme="1"/>
      <name val="Aharoni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 tint="0.499984740745262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 style="medium">
        <color rgb="FFCCCCCC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4" borderId="0" xfId="0" applyFill="1"/>
    <xf numFmtId="0" fontId="1" fillId="5" borderId="0" xfId="0" applyFont="1" applyFill="1"/>
    <xf numFmtId="0" fontId="1" fillId="6" borderId="0" xfId="0" applyFont="1" applyFill="1" applyAlignment="1">
      <alignment wrapText="1"/>
    </xf>
    <xf numFmtId="0" fontId="0" fillId="7" borderId="0" xfId="0" applyFill="1" applyAlignment="1">
      <alignment wrapText="1"/>
    </xf>
    <xf numFmtId="0" fontId="1" fillId="9" borderId="0" xfId="0" applyFont="1" applyFill="1"/>
    <xf numFmtId="0" fontId="0" fillId="2" borderId="0" xfId="0" applyFill="1" applyAlignment="1">
      <alignment horizontal="center"/>
    </xf>
    <xf numFmtId="0" fontId="1" fillId="10" borderId="0" xfId="0" applyFont="1" applyFill="1" applyAlignment="1">
      <alignment horizontal="center"/>
    </xf>
    <xf numFmtId="0" fontId="0" fillId="11" borderId="0" xfId="0" applyFill="1" applyAlignment="1">
      <alignment horizontal="center"/>
    </xf>
    <xf numFmtId="0" fontId="2" fillId="0" borderId="1" xfId="0" applyFont="1" applyBorder="1" applyAlignment="1">
      <alignment wrapText="1"/>
    </xf>
    <xf numFmtId="0" fontId="3" fillId="13" borderId="1" xfId="0" applyFont="1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right" wrapText="1"/>
    </xf>
    <xf numFmtId="14" fontId="5" fillId="3" borderId="1" xfId="0" applyNumberFormat="1" applyFont="1" applyFill="1" applyBorder="1" applyAlignment="1">
      <alignment horizontal="right" wrapText="1"/>
    </xf>
    <xf numFmtId="0" fontId="3" fillId="8" borderId="0" xfId="0" applyFont="1" applyFill="1"/>
    <xf numFmtId="0" fontId="7" fillId="12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5" borderId="0" xfId="0" applyFill="1" applyAlignment="1">
      <alignment wrapText="1"/>
    </xf>
    <xf numFmtId="0" fontId="3" fillId="13" borderId="2" xfId="0" applyFont="1" applyFill="1" applyBorder="1" applyAlignment="1">
      <alignment wrapText="1"/>
    </xf>
    <xf numFmtId="0" fontId="6" fillId="13" borderId="1" xfId="0" applyFont="1" applyFill="1" applyBorder="1" applyAlignment="1">
      <alignment wrapText="1"/>
    </xf>
    <xf numFmtId="0" fontId="5" fillId="3" borderId="0" xfId="0" applyFont="1" applyFill="1" applyAlignment="1">
      <alignment wrapText="1"/>
    </xf>
    <xf numFmtId="0" fontId="5" fillId="9" borderId="1" xfId="0" applyFont="1" applyFill="1" applyBorder="1" applyAlignment="1">
      <alignment wrapText="1"/>
    </xf>
    <xf numFmtId="0" fontId="4" fillId="5" borderId="0" xfId="0" applyFont="1" applyFill="1" applyAlignment="1">
      <alignment wrapText="1"/>
    </xf>
    <xf numFmtId="0" fontId="5" fillId="14" borderId="0" xfId="0" applyFont="1" applyFill="1" applyAlignment="1">
      <alignment wrapText="1"/>
    </xf>
    <xf numFmtId="0" fontId="3" fillId="12" borderId="1" xfId="0" applyFont="1" applyFill="1" applyBorder="1" applyAlignment="1">
      <alignment wrapText="1"/>
    </xf>
    <xf numFmtId="0" fontId="3" fillId="12" borderId="3" xfId="0" applyFont="1" applyFill="1" applyBorder="1" applyAlignment="1">
      <alignment wrapText="1"/>
    </xf>
    <xf numFmtId="0" fontId="4" fillId="15" borderId="1" xfId="0" applyFont="1" applyFill="1" applyBorder="1" applyAlignment="1">
      <alignment wrapText="1"/>
    </xf>
    <xf numFmtId="0" fontId="4" fillId="16" borderId="1" xfId="0" applyFont="1" applyFill="1" applyBorder="1" applyAlignment="1">
      <alignment wrapText="1"/>
    </xf>
    <xf numFmtId="0" fontId="9" fillId="17" borderId="1" xfId="0" applyFont="1" applyFill="1" applyBorder="1" applyAlignment="1">
      <alignment horizontal="right" wrapText="1"/>
    </xf>
    <xf numFmtId="0" fontId="9" fillId="16" borderId="1" xfId="0" applyFont="1" applyFill="1" applyBorder="1" applyAlignment="1">
      <alignment horizontal="right" wrapText="1"/>
    </xf>
    <xf numFmtId="0" fontId="0" fillId="17" borderId="0" xfId="0" applyFill="1"/>
    <xf numFmtId="0" fontId="9" fillId="15" borderId="1" xfId="0" applyFont="1" applyFill="1" applyBorder="1" applyAlignment="1">
      <alignment wrapText="1"/>
    </xf>
    <xf numFmtId="0" fontId="9" fillId="9" borderId="1" xfId="0" applyFont="1" applyFill="1" applyBorder="1" applyAlignment="1">
      <alignment horizontal="right" wrapText="1"/>
    </xf>
    <xf numFmtId="14" fontId="9" fillId="12" borderId="1" xfId="0" applyNumberFormat="1" applyFont="1" applyFill="1" applyBorder="1" applyAlignment="1">
      <alignment horizontal="right" wrapText="1"/>
    </xf>
    <xf numFmtId="0" fontId="10" fillId="2" borderId="1" xfId="0" applyFont="1" applyFill="1" applyBorder="1" applyAlignment="1">
      <alignment wrapText="1"/>
    </xf>
    <xf numFmtId="0" fontId="10" fillId="2" borderId="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071541996699919"/>
          <c:y val="0.15566215642403067"/>
          <c:w val="0.89177510642049862"/>
          <c:h val="0.504390214788125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Sheet1!$D$75</c:f>
              <c:strCache>
                <c:ptCount val="1"/>
                <c:pt idx="0">
                  <c:v>Quantity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Sheet1!$B$76:$C$125</c15:sqref>
                  </c15:fullRef>
                  <c15:levelRef>
                    <c15:sqref>Sheet1!$C$76:$C$125</c15:sqref>
                  </c15:levelRef>
                </c:ext>
              </c:extLst>
              <c:f>Sheet1!$C$76:$C$125</c:f>
              <c:strCache>
                <c:ptCount val="50"/>
                <c:pt idx="0">
                  <c:v>Notebook</c:v>
                </c:pt>
                <c:pt idx="1">
                  <c:v>Pen</c:v>
                </c:pt>
                <c:pt idx="2">
                  <c:v>Marker</c:v>
                </c:pt>
                <c:pt idx="3">
                  <c:v>Notebook</c:v>
                </c:pt>
                <c:pt idx="4">
                  <c:v>Pencil</c:v>
                </c:pt>
                <c:pt idx="5">
                  <c:v>Notebook</c:v>
                </c:pt>
                <c:pt idx="6">
                  <c:v>Eraser</c:v>
                </c:pt>
                <c:pt idx="7">
                  <c:v>Pen</c:v>
                </c:pt>
                <c:pt idx="8">
                  <c:v>Marker</c:v>
                </c:pt>
                <c:pt idx="9">
                  <c:v>Notebook</c:v>
                </c:pt>
                <c:pt idx="10">
                  <c:v>Pencil</c:v>
                </c:pt>
                <c:pt idx="11">
                  <c:v>Eraser</c:v>
                </c:pt>
                <c:pt idx="12">
                  <c:v>Notebook</c:v>
                </c:pt>
                <c:pt idx="13">
                  <c:v>Pen</c:v>
                </c:pt>
                <c:pt idx="14">
                  <c:v>Marker</c:v>
                </c:pt>
                <c:pt idx="15">
                  <c:v>Pencil</c:v>
                </c:pt>
                <c:pt idx="16">
                  <c:v>Eraser</c:v>
                </c:pt>
                <c:pt idx="17">
                  <c:v>Notebook</c:v>
                </c:pt>
                <c:pt idx="18">
                  <c:v>Pen</c:v>
                </c:pt>
                <c:pt idx="19">
                  <c:v>Marker</c:v>
                </c:pt>
                <c:pt idx="20">
                  <c:v>Notebook</c:v>
                </c:pt>
                <c:pt idx="21">
                  <c:v>Pencil</c:v>
                </c:pt>
                <c:pt idx="22">
                  <c:v>Eraser</c:v>
                </c:pt>
                <c:pt idx="23">
                  <c:v>Notebook</c:v>
                </c:pt>
                <c:pt idx="24">
                  <c:v>Pen</c:v>
                </c:pt>
                <c:pt idx="25">
                  <c:v>Marker</c:v>
                </c:pt>
                <c:pt idx="26">
                  <c:v>Pencil</c:v>
                </c:pt>
                <c:pt idx="27">
                  <c:v>Eraser</c:v>
                </c:pt>
                <c:pt idx="28">
                  <c:v>Notebook</c:v>
                </c:pt>
                <c:pt idx="29">
                  <c:v>Pen</c:v>
                </c:pt>
                <c:pt idx="30">
                  <c:v>Marker</c:v>
                </c:pt>
                <c:pt idx="31">
                  <c:v>Pencil</c:v>
                </c:pt>
                <c:pt idx="32">
                  <c:v>Eraser</c:v>
                </c:pt>
                <c:pt idx="33">
                  <c:v>Notebook</c:v>
                </c:pt>
                <c:pt idx="34">
                  <c:v>Pen</c:v>
                </c:pt>
                <c:pt idx="35">
                  <c:v>Marker</c:v>
                </c:pt>
                <c:pt idx="36">
                  <c:v>Pencil</c:v>
                </c:pt>
                <c:pt idx="37">
                  <c:v>Eraser</c:v>
                </c:pt>
                <c:pt idx="38">
                  <c:v>Notebook</c:v>
                </c:pt>
                <c:pt idx="39">
                  <c:v>Pen</c:v>
                </c:pt>
                <c:pt idx="40">
                  <c:v>Marker</c:v>
                </c:pt>
                <c:pt idx="41">
                  <c:v>Pencil</c:v>
                </c:pt>
                <c:pt idx="42">
                  <c:v>Eraser</c:v>
                </c:pt>
                <c:pt idx="43">
                  <c:v>Notebook</c:v>
                </c:pt>
                <c:pt idx="44">
                  <c:v>Pen</c:v>
                </c:pt>
                <c:pt idx="45">
                  <c:v>Marker</c:v>
                </c:pt>
                <c:pt idx="46">
                  <c:v>Pencil</c:v>
                </c:pt>
                <c:pt idx="47">
                  <c:v>Eraser</c:v>
                </c:pt>
                <c:pt idx="48">
                  <c:v>Notebook</c:v>
                </c:pt>
                <c:pt idx="49">
                  <c:v>Pen</c:v>
                </c:pt>
              </c:strCache>
            </c:strRef>
          </c:cat>
          <c:val>
            <c:numRef>
              <c:f>Sheet1!$D$76:$D$125</c:f>
              <c:numCache>
                <c:formatCode>General</c:formatCode>
                <c:ptCount val="50"/>
                <c:pt idx="0">
                  <c:v>10</c:v>
                </c:pt>
                <c:pt idx="1">
                  <c:v>20</c:v>
                </c:pt>
                <c:pt idx="2">
                  <c:v>15</c:v>
                </c:pt>
                <c:pt idx="3">
                  <c:v>5</c:v>
                </c:pt>
                <c:pt idx="4">
                  <c:v>30</c:v>
                </c:pt>
                <c:pt idx="5">
                  <c:v>12</c:v>
                </c:pt>
                <c:pt idx="6">
                  <c:v>25</c:v>
                </c:pt>
                <c:pt idx="7">
                  <c:v>18</c:v>
                </c:pt>
                <c:pt idx="8">
                  <c:v>22</c:v>
                </c:pt>
                <c:pt idx="9">
                  <c:v>8</c:v>
                </c:pt>
                <c:pt idx="10">
                  <c:v>40</c:v>
                </c:pt>
                <c:pt idx="11">
                  <c:v>35</c:v>
                </c:pt>
                <c:pt idx="12">
                  <c:v>14</c:v>
                </c:pt>
                <c:pt idx="13">
                  <c:v>28</c:v>
                </c:pt>
                <c:pt idx="14">
                  <c:v>12</c:v>
                </c:pt>
                <c:pt idx="15">
                  <c:v>25</c:v>
                </c:pt>
                <c:pt idx="16">
                  <c:v>20</c:v>
                </c:pt>
                <c:pt idx="17">
                  <c:v>10</c:v>
                </c:pt>
                <c:pt idx="18">
                  <c:v>15</c:v>
                </c:pt>
                <c:pt idx="19">
                  <c:v>18</c:v>
                </c:pt>
                <c:pt idx="20">
                  <c:v>9</c:v>
                </c:pt>
                <c:pt idx="21">
                  <c:v>35</c:v>
                </c:pt>
                <c:pt idx="22">
                  <c:v>30</c:v>
                </c:pt>
                <c:pt idx="23">
                  <c:v>11</c:v>
                </c:pt>
                <c:pt idx="24">
                  <c:v>14</c:v>
                </c:pt>
                <c:pt idx="25">
                  <c:v>16</c:v>
                </c:pt>
                <c:pt idx="26">
                  <c:v>22</c:v>
                </c:pt>
                <c:pt idx="27">
                  <c:v>27</c:v>
                </c:pt>
                <c:pt idx="28">
                  <c:v>13</c:v>
                </c:pt>
                <c:pt idx="29">
                  <c:v>32</c:v>
                </c:pt>
                <c:pt idx="30">
                  <c:v>10</c:v>
                </c:pt>
                <c:pt idx="31">
                  <c:v>18</c:v>
                </c:pt>
                <c:pt idx="32">
                  <c:v>22</c:v>
                </c:pt>
                <c:pt idx="33">
                  <c:v>17</c:v>
                </c:pt>
                <c:pt idx="34">
                  <c:v>19</c:v>
                </c:pt>
                <c:pt idx="35">
                  <c:v>15</c:v>
                </c:pt>
                <c:pt idx="36">
                  <c:v>28</c:v>
                </c:pt>
                <c:pt idx="37">
                  <c:v>24</c:v>
                </c:pt>
                <c:pt idx="38">
                  <c:v>16</c:v>
                </c:pt>
                <c:pt idx="39">
                  <c:v>27</c:v>
                </c:pt>
                <c:pt idx="40">
                  <c:v>21</c:v>
                </c:pt>
                <c:pt idx="41">
                  <c:v>30</c:v>
                </c:pt>
                <c:pt idx="42">
                  <c:v>26</c:v>
                </c:pt>
                <c:pt idx="43">
                  <c:v>14</c:v>
                </c:pt>
                <c:pt idx="44">
                  <c:v>20</c:v>
                </c:pt>
                <c:pt idx="45">
                  <c:v>17</c:v>
                </c:pt>
                <c:pt idx="46">
                  <c:v>19</c:v>
                </c:pt>
                <c:pt idx="47">
                  <c:v>32</c:v>
                </c:pt>
                <c:pt idx="48">
                  <c:v>12</c:v>
                </c:pt>
                <c:pt idx="49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B1-47A7-8566-76BEBCD1DEE4}"/>
            </c:ext>
          </c:extLst>
        </c:ser>
        <c:ser>
          <c:idx val="1"/>
          <c:order val="1"/>
          <c:tx>
            <c:strRef>
              <c:f>Sheet1!$E$75</c:f>
              <c:strCache>
                <c:ptCount val="1"/>
                <c:pt idx="0">
                  <c:v>UnitPrice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Sheet1!$B$76:$C$125</c15:sqref>
                  </c15:fullRef>
                  <c15:levelRef>
                    <c15:sqref>Sheet1!$C$76:$C$125</c15:sqref>
                  </c15:levelRef>
                </c:ext>
              </c:extLst>
              <c:f>Sheet1!$C$76:$C$125</c:f>
              <c:strCache>
                <c:ptCount val="50"/>
                <c:pt idx="0">
                  <c:v>Notebook</c:v>
                </c:pt>
                <c:pt idx="1">
                  <c:v>Pen</c:v>
                </c:pt>
                <c:pt idx="2">
                  <c:v>Marker</c:v>
                </c:pt>
                <c:pt idx="3">
                  <c:v>Notebook</c:v>
                </c:pt>
                <c:pt idx="4">
                  <c:v>Pencil</c:v>
                </c:pt>
                <c:pt idx="5">
                  <c:v>Notebook</c:v>
                </c:pt>
                <c:pt idx="6">
                  <c:v>Eraser</c:v>
                </c:pt>
                <c:pt idx="7">
                  <c:v>Pen</c:v>
                </c:pt>
                <c:pt idx="8">
                  <c:v>Marker</c:v>
                </c:pt>
                <c:pt idx="9">
                  <c:v>Notebook</c:v>
                </c:pt>
                <c:pt idx="10">
                  <c:v>Pencil</c:v>
                </c:pt>
                <c:pt idx="11">
                  <c:v>Eraser</c:v>
                </c:pt>
                <c:pt idx="12">
                  <c:v>Notebook</c:v>
                </c:pt>
                <c:pt idx="13">
                  <c:v>Pen</c:v>
                </c:pt>
                <c:pt idx="14">
                  <c:v>Marker</c:v>
                </c:pt>
                <c:pt idx="15">
                  <c:v>Pencil</c:v>
                </c:pt>
                <c:pt idx="16">
                  <c:v>Eraser</c:v>
                </c:pt>
                <c:pt idx="17">
                  <c:v>Notebook</c:v>
                </c:pt>
                <c:pt idx="18">
                  <c:v>Pen</c:v>
                </c:pt>
                <c:pt idx="19">
                  <c:v>Marker</c:v>
                </c:pt>
                <c:pt idx="20">
                  <c:v>Notebook</c:v>
                </c:pt>
                <c:pt idx="21">
                  <c:v>Pencil</c:v>
                </c:pt>
                <c:pt idx="22">
                  <c:v>Eraser</c:v>
                </c:pt>
                <c:pt idx="23">
                  <c:v>Notebook</c:v>
                </c:pt>
                <c:pt idx="24">
                  <c:v>Pen</c:v>
                </c:pt>
                <c:pt idx="25">
                  <c:v>Marker</c:v>
                </c:pt>
                <c:pt idx="26">
                  <c:v>Pencil</c:v>
                </c:pt>
                <c:pt idx="27">
                  <c:v>Eraser</c:v>
                </c:pt>
                <c:pt idx="28">
                  <c:v>Notebook</c:v>
                </c:pt>
                <c:pt idx="29">
                  <c:v>Pen</c:v>
                </c:pt>
                <c:pt idx="30">
                  <c:v>Marker</c:v>
                </c:pt>
                <c:pt idx="31">
                  <c:v>Pencil</c:v>
                </c:pt>
                <c:pt idx="32">
                  <c:v>Eraser</c:v>
                </c:pt>
                <c:pt idx="33">
                  <c:v>Notebook</c:v>
                </c:pt>
                <c:pt idx="34">
                  <c:v>Pen</c:v>
                </c:pt>
                <c:pt idx="35">
                  <c:v>Marker</c:v>
                </c:pt>
                <c:pt idx="36">
                  <c:v>Pencil</c:v>
                </c:pt>
                <c:pt idx="37">
                  <c:v>Eraser</c:v>
                </c:pt>
                <c:pt idx="38">
                  <c:v>Notebook</c:v>
                </c:pt>
                <c:pt idx="39">
                  <c:v>Pen</c:v>
                </c:pt>
                <c:pt idx="40">
                  <c:v>Marker</c:v>
                </c:pt>
                <c:pt idx="41">
                  <c:v>Pencil</c:v>
                </c:pt>
                <c:pt idx="42">
                  <c:v>Eraser</c:v>
                </c:pt>
                <c:pt idx="43">
                  <c:v>Notebook</c:v>
                </c:pt>
                <c:pt idx="44">
                  <c:v>Pen</c:v>
                </c:pt>
                <c:pt idx="45">
                  <c:v>Marker</c:v>
                </c:pt>
                <c:pt idx="46">
                  <c:v>Pencil</c:v>
                </c:pt>
                <c:pt idx="47">
                  <c:v>Eraser</c:v>
                </c:pt>
                <c:pt idx="48">
                  <c:v>Notebook</c:v>
                </c:pt>
                <c:pt idx="49">
                  <c:v>Pen</c:v>
                </c:pt>
              </c:strCache>
            </c:strRef>
          </c:cat>
          <c:val>
            <c:numRef>
              <c:f>Sheet1!$E$76:$E$125</c:f>
              <c:numCache>
                <c:formatCode>General</c:formatCode>
                <c:ptCount val="50"/>
                <c:pt idx="0">
                  <c:v>50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5</c:v>
                </c:pt>
                <c:pt idx="5">
                  <c:v>50</c:v>
                </c:pt>
                <c:pt idx="6">
                  <c:v>8</c:v>
                </c:pt>
                <c:pt idx="7">
                  <c:v>10</c:v>
                </c:pt>
                <c:pt idx="8">
                  <c:v>25</c:v>
                </c:pt>
                <c:pt idx="9">
                  <c:v>50</c:v>
                </c:pt>
                <c:pt idx="10">
                  <c:v>5</c:v>
                </c:pt>
                <c:pt idx="11">
                  <c:v>8</c:v>
                </c:pt>
                <c:pt idx="12">
                  <c:v>50</c:v>
                </c:pt>
                <c:pt idx="13">
                  <c:v>10</c:v>
                </c:pt>
                <c:pt idx="14">
                  <c:v>25</c:v>
                </c:pt>
                <c:pt idx="15">
                  <c:v>5</c:v>
                </c:pt>
                <c:pt idx="16">
                  <c:v>8</c:v>
                </c:pt>
                <c:pt idx="17">
                  <c:v>50</c:v>
                </c:pt>
                <c:pt idx="18">
                  <c:v>10</c:v>
                </c:pt>
                <c:pt idx="19">
                  <c:v>25</c:v>
                </c:pt>
                <c:pt idx="20">
                  <c:v>50</c:v>
                </c:pt>
                <c:pt idx="21">
                  <c:v>5</c:v>
                </c:pt>
                <c:pt idx="22">
                  <c:v>8</c:v>
                </c:pt>
                <c:pt idx="23">
                  <c:v>50</c:v>
                </c:pt>
                <c:pt idx="24">
                  <c:v>10</c:v>
                </c:pt>
                <c:pt idx="25">
                  <c:v>25</c:v>
                </c:pt>
                <c:pt idx="26">
                  <c:v>5</c:v>
                </c:pt>
                <c:pt idx="27">
                  <c:v>8</c:v>
                </c:pt>
                <c:pt idx="28">
                  <c:v>50</c:v>
                </c:pt>
                <c:pt idx="29">
                  <c:v>10</c:v>
                </c:pt>
                <c:pt idx="30">
                  <c:v>25</c:v>
                </c:pt>
                <c:pt idx="31">
                  <c:v>5</c:v>
                </c:pt>
                <c:pt idx="32">
                  <c:v>8</c:v>
                </c:pt>
                <c:pt idx="33">
                  <c:v>50</c:v>
                </c:pt>
                <c:pt idx="34">
                  <c:v>10</c:v>
                </c:pt>
                <c:pt idx="35">
                  <c:v>25</c:v>
                </c:pt>
                <c:pt idx="36">
                  <c:v>5</c:v>
                </c:pt>
                <c:pt idx="37">
                  <c:v>8</c:v>
                </c:pt>
                <c:pt idx="38">
                  <c:v>50</c:v>
                </c:pt>
                <c:pt idx="39">
                  <c:v>10</c:v>
                </c:pt>
                <c:pt idx="40">
                  <c:v>25</c:v>
                </c:pt>
                <c:pt idx="41">
                  <c:v>5</c:v>
                </c:pt>
                <c:pt idx="42">
                  <c:v>8</c:v>
                </c:pt>
                <c:pt idx="43">
                  <c:v>50</c:v>
                </c:pt>
                <c:pt idx="44">
                  <c:v>10</c:v>
                </c:pt>
                <c:pt idx="45">
                  <c:v>25</c:v>
                </c:pt>
                <c:pt idx="46">
                  <c:v>5</c:v>
                </c:pt>
                <c:pt idx="47">
                  <c:v>8</c:v>
                </c:pt>
                <c:pt idx="48">
                  <c:v>50</c:v>
                </c:pt>
                <c:pt idx="4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B1-47A7-8566-76BEBCD1DEE4}"/>
            </c:ext>
          </c:extLst>
        </c:ser>
        <c:ser>
          <c:idx val="2"/>
          <c:order val="2"/>
          <c:tx>
            <c:strRef>
              <c:f>Sheet1!$F$75</c:f>
              <c:strCache>
                <c:ptCount val="1"/>
                <c:pt idx="0">
                  <c:v>Total sales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Sheet1!$B$76:$C$125</c15:sqref>
                  </c15:fullRef>
                  <c15:levelRef>
                    <c15:sqref>Sheet1!$C$76:$C$125</c15:sqref>
                  </c15:levelRef>
                </c:ext>
              </c:extLst>
              <c:f>Sheet1!$C$76:$C$125</c:f>
              <c:strCache>
                <c:ptCount val="50"/>
                <c:pt idx="0">
                  <c:v>Notebook</c:v>
                </c:pt>
                <c:pt idx="1">
                  <c:v>Pen</c:v>
                </c:pt>
                <c:pt idx="2">
                  <c:v>Marker</c:v>
                </c:pt>
                <c:pt idx="3">
                  <c:v>Notebook</c:v>
                </c:pt>
                <c:pt idx="4">
                  <c:v>Pencil</c:v>
                </c:pt>
                <c:pt idx="5">
                  <c:v>Notebook</c:v>
                </c:pt>
                <c:pt idx="6">
                  <c:v>Eraser</c:v>
                </c:pt>
                <c:pt idx="7">
                  <c:v>Pen</c:v>
                </c:pt>
                <c:pt idx="8">
                  <c:v>Marker</c:v>
                </c:pt>
                <c:pt idx="9">
                  <c:v>Notebook</c:v>
                </c:pt>
                <c:pt idx="10">
                  <c:v>Pencil</c:v>
                </c:pt>
                <c:pt idx="11">
                  <c:v>Eraser</c:v>
                </c:pt>
                <c:pt idx="12">
                  <c:v>Notebook</c:v>
                </c:pt>
                <c:pt idx="13">
                  <c:v>Pen</c:v>
                </c:pt>
                <c:pt idx="14">
                  <c:v>Marker</c:v>
                </c:pt>
                <c:pt idx="15">
                  <c:v>Pencil</c:v>
                </c:pt>
                <c:pt idx="16">
                  <c:v>Eraser</c:v>
                </c:pt>
                <c:pt idx="17">
                  <c:v>Notebook</c:v>
                </c:pt>
                <c:pt idx="18">
                  <c:v>Pen</c:v>
                </c:pt>
                <c:pt idx="19">
                  <c:v>Marker</c:v>
                </c:pt>
                <c:pt idx="20">
                  <c:v>Notebook</c:v>
                </c:pt>
                <c:pt idx="21">
                  <c:v>Pencil</c:v>
                </c:pt>
                <c:pt idx="22">
                  <c:v>Eraser</c:v>
                </c:pt>
                <c:pt idx="23">
                  <c:v>Notebook</c:v>
                </c:pt>
                <c:pt idx="24">
                  <c:v>Pen</c:v>
                </c:pt>
                <c:pt idx="25">
                  <c:v>Marker</c:v>
                </c:pt>
                <c:pt idx="26">
                  <c:v>Pencil</c:v>
                </c:pt>
                <c:pt idx="27">
                  <c:v>Eraser</c:v>
                </c:pt>
                <c:pt idx="28">
                  <c:v>Notebook</c:v>
                </c:pt>
                <c:pt idx="29">
                  <c:v>Pen</c:v>
                </c:pt>
                <c:pt idx="30">
                  <c:v>Marker</c:v>
                </c:pt>
                <c:pt idx="31">
                  <c:v>Pencil</c:v>
                </c:pt>
                <c:pt idx="32">
                  <c:v>Eraser</c:v>
                </c:pt>
                <c:pt idx="33">
                  <c:v>Notebook</c:v>
                </c:pt>
                <c:pt idx="34">
                  <c:v>Pen</c:v>
                </c:pt>
                <c:pt idx="35">
                  <c:v>Marker</c:v>
                </c:pt>
                <c:pt idx="36">
                  <c:v>Pencil</c:v>
                </c:pt>
                <c:pt idx="37">
                  <c:v>Eraser</c:v>
                </c:pt>
                <c:pt idx="38">
                  <c:v>Notebook</c:v>
                </c:pt>
                <c:pt idx="39">
                  <c:v>Pen</c:v>
                </c:pt>
                <c:pt idx="40">
                  <c:v>Marker</c:v>
                </c:pt>
                <c:pt idx="41">
                  <c:v>Pencil</c:v>
                </c:pt>
                <c:pt idx="42">
                  <c:v>Eraser</c:v>
                </c:pt>
                <c:pt idx="43">
                  <c:v>Notebook</c:v>
                </c:pt>
                <c:pt idx="44">
                  <c:v>Pen</c:v>
                </c:pt>
                <c:pt idx="45">
                  <c:v>Marker</c:v>
                </c:pt>
                <c:pt idx="46">
                  <c:v>Pencil</c:v>
                </c:pt>
                <c:pt idx="47">
                  <c:v>Eraser</c:v>
                </c:pt>
                <c:pt idx="48">
                  <c:v>Notebook</c:v>
                </c:pt>
                <c:pt idx="49">
                  <c:v>Pen</c:v>
                </c:pt>
              </c:strCache>
            </c:strRef>
          </c:cat>
          <c:val>
            <c:numRef>
              <c:f>Sheet1!$F$76:$F$125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B1-47A7-8566-76BEBCD1DE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10790960"/>
        <c:axId val="908272288"/>
      </c:barChart>
      <c:catAx>
        <c:axId val="910790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272288"/>
        <c:crosses val="autoZero"/>
        <c:auto val="1"/>
        <c:lblAlgn val="ctr"/>
        <c:lblOffset val="100"/>
        <c:noMultiLvlLbl val="0"/>
      </c:catAx>
      <c:valAx>
        <c:axId val="90827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790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Daily</a:t>
            </a:r>
            <a:r>
              <a:rPr lang="en-US" baseline="0"/>
              <a:t> sales trends</a:t>
            </a:r>
            <a:endParaRPr lang="en-US"/>
          </a:p>
        </c:rich>
      </c:tx>
      <c:layout>
        <c:manualLayout>
          <c:xMode val="edge"/>
          <c:yMode val="edge"/>
          <c:x val="0.4174166666666666"/>
          <c:y val="8.33333333333333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Sheet1!$F$134</c:f>
              <c:strCache>
                <c:ptCount val="1"/>
                <c:pt idx="0">
                  <c:v>Total sales of each product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Sheet1!$E$135:$E$184</c:f>
              <c:numCache>
                <c:formatCode>m/d/yyyy</c:formatCode>
                <c:ptCount val="50"/>
                <c:pt idx="0">
                  <c:v>45296</c:v>
                </c:pt>
                <c:pt idx="1">
                  <c:v>45297</c:v>
                </c:pt>
                <c:pt idx="2">
                  <c:v>45298</c:v>
                </c:pt>
                <c:pt idx="3">
                  <c:v>45299</c:v>
                </c:pt>
                <c:pt idx="4">
                  <c:v>45301</c:v>
                </c:pt>
                <c:pt idx="5">
                  <c:v>45302</c:v>
                </c:pt>
                <c:pt idx="6">
                  <c:v>45304</c:v>
                </c:pt>
                <c:pt idx="7">
                  <c:v>45306</c:v>
                </c:pt>
                <c:pt idx="8">
                  <c:v>45308</c:v>
                </c:pt>
                <c:pt idx="9">
                  <c:v>45309</c:v>
                </c:pt>
                <c:pt idx="10">
                  <c:v>45310</c:v>
                </c:pt>
                <c:pt idx="11">
                  <c:v>45311</c:v>
                </c:pt>
                <c:pt idx="12">
                  <c:v>45313</c:v>
                </c:pt>
                <c:pt idx="13">
                  <c:v>45314</c:v>
                </c:pt>
                <c:pt idx="14">
                  <c:v>45315</c:v>
                </c:pt>
                <c:pt idx="15">
                  <c:v>45317</c:v>
                </c:pt>
                <c:pt idx="16">
                  <c:v>45319</c:v>
                </c:pt>
                <c:pt idx="17">
                  <c:v>45320</c:v>
                </c:pt>
                <c:pt idx="18">
                  <c:v>45321</c:v>
                </c:pt>
                <c:pt idx="19">
                  <c:v>45323</c:v>
                </c:pt>
                <c:pt idx="20">
                  <c:v>45324</c:v>
                </c:pt>
                <c:pt idx="21">
                  <c:v>45325</c:v>
                </c:pt>
                <c:pt idx="22">
                  <c:v>45326</c:v>
                </c:pt>
                <c:pt idx="23">
                  <c:v>45328</c:v>
                </c:pt>
                <c:pt idx="24">
                  <c:v>45329</c:v>
                </c:pt>
                <c:pt idx="25">
                  <c:v>45330</c:v>
                </c:pt>
                <c:pt idx="26">
                  <c:v>45331</c:v>
                </c:pt>
                <c:pt idx="27">
                  <c:v>45332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45338</c:v>
                </c:pt>
                <c:pt idx="32">
                  <c:v>45339</c:v>
                </c:pt>
                <c:pt idx="33">
                  <c:v>45340</c:v>
                </c:pt>
                <c:pt idx="34">
                  <c:v>45341</c:v>
                </c:pt>
                <c:pt idx="35">
                  <c:v>45343</c:v>
                </c:pt>
                <c:pt idx="36">
                  <c:v>45344</c:v>
                </c:pt>
                <c:pt idx="37">
                  <c:v>45345</c:v>
                </c:pt>
                <c:pt idx="38">
                  <c:v>45347</c:v>
                </c:pt>
                <c:pt idx="39">
                  <c:v>45348</c:v>
                </c:pt>
                <c:pt idx="40">
                  <c:v>45349</c:v>
                </c:pt>
                <c:pt idx="41">
                  <c:v>45350</c:v>
                </c:pt>
                <c:pt idx="42">
                  <c:v>45352</c:v>
                </c:pt>
                <c:pt idx="43">
                  <c:v>45353</c:v>
                </c:pt>
                <c:pt idx="44">
                  <c:v>45354</c:v>
                </c:pt>
                <c:pt idx="45">
                  <c:v>45355</c:v>
                </c:pt>
                <c:pt idx="46">
                  <c:v>45356</c:v>
                </c:pt>
                <c:pt idx="47">
                  <c:v>45357</c:v>
                </c:pt>
                <c:pt idx="48">
                  <c:v>45358</c:v>
                </c:pt>
                <c:pt idx="49">
                  <c:v>45359</c:v>
                </c:pt>
              </c:numCache>
            </c:numRef>
          </c:cat>
          <c:val>
            <c:numRef>
              <c:f>Sheet1!$F$135:$F$184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29-419A-AC4D-67D9634CC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340112"/>
        <c:axId val="157326336"/>
      </c:lineChart>
      <c:dateAx>
        <c:axId val="323401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26336"/>
        <c:crosses val="autoZero"/>
        <c:auto val="1"/>
        <c:lblOffset val="100"/>
        <c:baseTimeUnit val="days"/>
      </c:dateAx>
      <c:valAx>
        <c:axId val="157326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40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9527</xdr:colOff>
      <xdr:row>85</xdr:row>
      <xdr:rowOff>180975</xdr:rowOff>
    </xdr:from>
    <xdr:to>
      <xdr:col>13</xdr:col>
      <xdr:colOff>495300</xdr:colOff>
      <xdr:row>107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785270-E444-4065-A375-0CFAB34709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981075</xdr:colOff>
      <xdr:row>153</xdr:row>
      <xdr:rowOff>14287</xdr:rowOff>
    </xdr:from>
    <xdr:to>
      <xdr:col>13</xdr:col>
      <xdr:colOff>38100</xdr:colOff>
      <xdr:row>166</xdr:row>
      <xdr:rowOff>157162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A65F26-5C10-4D05-8DE4-95998464C1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02145-F916-4D7D-932D-F8DB63D9EB7E}">
  <dimension ref="A1:J186"/>
  <sheetViews>
    <sheetView tabSelected="1" topLeftCell="A110" workbookViewId="0">
      <selection activeCell="G144" sqref="G144"/>
    </sheetView>
  </sheetViews>
  <sheetFormatPr defaultRowHeight="15" x14ac:dyDescent="0.25"/>
  <cols>
    <col min="1" max="1" width="19.7109375" customWidth="1"/>
    <col min="2" max="2" width="18.140625" customWidth="1"/>
    <col min="3" max="3" width="23.5703125" customWidth="1"/>
    <col min="4" max="4" width="12.5703125" customWidth="1"/>
    <col min="5" max="5" width="11.42578125" customWidth="1"/>
    <col min="6" max="6" width="12.85546875" customWidth="1"/>
    <col min="7" max="7" width="18.28515625" customWidth="1"/>
    <col min="8" max="8" width="18.7109375" style="18" customWidth="1"/>
    <col min="9" max="10" width="9.140625" style="18"/>
  </cols>
  <sheetData>
    <row r="1" spans="1:6" x14ac:dyDescent="0.25">
      <c r="A1" t="s">
        <v>0</v>
      </c>
    </row>
    <row r="2" spans="1:6" x14ac:dyDescent="0.25">
      <c r="A2" s="1" t="s">
        <v>1</v>
      </c>
      <c r="B2" s="4" t="s">
        <v>5</v>
      </c>
    </row>
    <row r="3" spans="1:6" x14ac:dyDescent="0.25">
      <c r="A3" s="2" t="s">
        <v>2</v>
      </c>
      <c r="B3" s="3">
        <v>500000</v>
      </c>
    </row>
    <row r="4" spans="1:6" x14ac:dyDescent="0.25">
      <c r="A4" s="2" t="s">
        <v>3</v>
      </c>
      <c r="B4" s="3">
        <v>10500</v>
      </c>
    </row>
    <row r="5" spans="1:6" x14ac:dyDescent="0.25">
      <c r="A5" s="2" t="s">
        <v>4</v>
      </c>
      <c r="B5" s="3">
        <v>25000</v>
      </c>
    </row>
    <row r="6" spans="1:6" ht="30" x14ac:dyDescent="0.25">
      <c r="A6" s="5" t="s">
        <v>6</v>
      </c>
      <c r="B6" s="6">
        <f>SUM(B3:B4)</f>
        <v>510500</v>
      </c>
    </row>
    <row r="9" spans="1:6" x14ac:dyDescent="0.25">
      <c r="A9" t="s">
        <v>74</v>
      </c>
    </row>
    <row r="10" spans="1:6" x14ac:dyDescent="0.25">
      <c r="A10" s="16" t="s">
        <v>75</v>
      </c>
      <c r="B10" s="4" t="s">
        <v>5</v>
      </c>
      <c r="C10" s="9" t="s">
        <v>10</v>
      </c>
    </row>
    <row r="11" spans="1:6" x14ac:dyDescent="0.25">
      <c r="A11" s="7" t="s">
        <v>7</v>
      </c>
      <c r="B11" s="8">
        <v>90</v>
      </c>
      <c r="C11" s="10">
        <v>1000</v>
      </c>
    </row>
    <row r="12" spans="1:6" x14ac:dyDescent="0.25">
      <c r="A12" s="7" t="s">
        <v>8</v>
      </c>
      <c r="B12" s="8">
        <v>150</v>
      </c>
      <c r="C12" s="10">
        <v>1200</v>
      </c>
    </row>
    <row r="13" spans="1:6" x14ac:dyDescent="0.25">
      <c r="A13" s="7" t="s">
        <v>9</v>
      </c>
      <c r="B13" s="8">
        <v>250</v>
      </c>
      <c r="C13" s="10">
        <v>1500</v>
      </c>
    </row>
    <row r="14" spans="1:6" ht="70.5" x14ac:dyDescent="0.3">
      <c r="A14" s="17" t="s">
        <v>76</v>
      </c>
      <c r="B14" s="20">
        <f>AVERAGEIFS(C11:C13,B11:B13,"&gt;100",B11:B13,"&lt;300")</f>
        <v>1350</v>
      </c>
      <c r="C14" s="19"/>
      <c r="D14" s="18"/>
      <c r="E14" s="18"/>
      <c r="F14" s="18"/>
    </row>
    <row r="17" spans="1:8" ht="15.75" thickBot="1" x14ac:dyDescent="0.3">
      <c r="A17" t="s">
        <v>73</v>
      </c>
    </row>
    <row r="18" spans="1:8" ht="36" thickBot="1" x14ac:dyDescent="0.3">
      <c r="A18" s="12" t="s">
        <v>72</v>
      </c>
      <c r="B18" s="12" t="s">
        <v>77</v>
      </c>
      <c r="C18" s="12" t="s">
        <v>11</v>
      </c>
      <c r="D18" s="12" t="s">
        <v>78</v>
      </c>
      <c r="E18" s="12" t="s">
        <v>12</v>
      </c>
      <c r="F18" s="12" t="s">
        <v>79</v>
      </c>
      <c r="G18" s="12" t="s">
        <v>80</v>
      </c>
      <c r="H18" s="21" t="s">
        <v>81</v>
      </c>
    </row>
    <row r="19" spans="1:8" ht="21" thickBot="1" x14ac:dyDescent="0.35">
      <c r="A19" s="14">
        <v>1001</v>
      </c>
      <c r="B19" s="13" t="s">
        <v>13</v>
      </c>
      <c r="C19" s="13" t="s">
        <v>14</v>
      </c>
      <c r="D19" s="13" t="s">
        <v>15</v>
      </c>
      <c r="E19" s="14">
        <v>10</v>
      </c>
      <c r="F19" s="14">
        <v>50</v>
      </c>
      <c r="G19" s="15">
        <v>45296</v>
      </c>
      <c r="H19" s="23">
        <f>PRODUCT(E19*F19)</f>
        <v>500</v>
      </c>
    </row>
    <row r="20" spans="1:8" ht="21" thickBot="1" x14ac:dyDescent="0.35">
      <c r="A20" s="14">
        <v>1002</v>
      </c>
      <c r="B20" s="13" t="s">
        <v>16</v>
      </c>
      <c r="C20" s="13" t="s">
        <v>17</v>
      </c>
      <c r="D20" s="13" t="s">
        <v>18</v>
      </c>
      <c r="E20" s="14">
        <v>20</v>
      </c>
      <c r="F20" s="14">
        <v>10</v>
      </c>
      <c r="G20" s="15">
        <v>45297</v>
      </c>
      <c r="H20" s="23">
        <f t="shared" ref="H20:H68" si="0">PRODUCT(E20*F20)</f>
        <v>200</v>
      </c>
    </row>
    <row r="21" spans="1:8" ht="21" thickBot="1" x14ac:dyDescent="0.35">
      <c r="A21" s="14">
        <v>1003</v>
      </c>
      <c r="B21" s="13" t="s">
        <v>19</v>
      </c>
      <c r="C21" s="13" t="s">
        <v>20</v>
      </c>
      <c r="D21" s="13" t="s">
        <v>21</v>
      </c>
      <c r="E21" s="14">
        <v>15</v>
      </c>
      <c r="F21" s="14">
        <v>25</v>
      </c>
      <c r="G21" s="15">
        <v>45298</v>
      </c>
      <c r="H21" s="23">
        <f t="shared" si="0"/>
        <v>375</v>
      </c>
    </row>
    <row r="22" spans="1:8" ht="21" thickBot="1" x14ac:dyDescent="0.35">
      <c r="A22" s="14">
        <v>1004</v>
      </c>
      <c r="B22" s="13" t="s">
        <v>22</v>
      </c>
      <c r="C22" s="13" t="s">
        <v>23</v>
      </c>
      <c r="D22" s="13" t="s">
        <v>15</v>
      </c>
      <c r="E22" s="14">
        <v>5</v>
      </c>
      <c r="F22" s="14">
        <v>50</v>
      </c>
      <c r="G22" s="15">
        <v>45299</v>
      </c>
      <c r="H22" s="23">
        <f t="shared" si="0"/>
        <v>250</v>
      </c>
    </row>
    <row r="23" spans="1:8" ht="21" thickBot="1" x14ac:dyDescent="0.35">
      <c r="A23" s="14">
        <v>1005</v>
      </c>
      <c r="B23" s="13" t="s">
        <v>24</v>
      </c>
      <c r="C23" s="13" t="s">
        <v>14</v>
      </c>
      <c r="D23" s="13" t="s">
        <v>25</v>
      </c>
      <c r="E23" s="14">
        <v>30</v>
      </c>
      <c r="F23" s="14">
        <v>5</v>
      </c>
      <c r="G23" s="15">
        <v>45301</v>
      </c>
      <c r="H23" s="23">
        <f t="shared" si="0"/>
        <v>150</v>
      </c>
    </row>
    <row r="24" spans="1:8" ht="21" thickBot="1" x14ac:dyDescent="0.35">
      <c r="A24" s="14">
        <v>1006</v>
      </c>
      <c r="B24" s="13" t="s">
        <v>26</v>
      </c>
      <c r="C24" s="13" t="s">
        <v>17</v>
      </c>
      <c r="D24" s="13" t="s">
        <v>15</v>
      </c>
      <c r="E24" s="14">
        <v>12</v>
      </c>
      <c r="F24" s="14">
        <v>50</v>
      </c>
      <c r="G24" s="15">
        <v>45302</v>
      </c>
      <c r="H24" s="23">
        <f t="shared" si="0"/>
        <v>600</v>
      </c>
    </row>
    <row r="25" spans="1:8" ht="21" thickBot="1" x14ac:dyDescent="0.35">
      <c r="A25" s="14">
        <v>1007</v>
      </c>
      <c r="B25" s="13" t="s">
        <v>27</v>
      </c>
      <c r="C25" s="13" t="s">
        <v>20</v>
      </c>
      <c r="D25" s="13" t="s">
        <v>28</v>
      </c>
      <c r="E25" s="14">
        <v>25</v>
      </c>
      <c r="F25" s="14">
        <v>8</v>
      </c>
      <c r="G25" s="15">
        <v>45304</v>
      </c>
      <c r="H25" s="23">
        <f t="shared" si="0"/>
        <v>200</v>
      </c>
    </row>
    <row r="26" spans="1:8" ht="21" thickBot="1" x14ac:dyDescent="0.35">
      <c r="A26" s="14">
        <v>1008</v>
      </c>
      <c r="B26" s="13" t="s">
        <v>29</v>
      </c>
      <c r="C26" s="13" t="s">
        <v>23</v>
      </c>
      <c r="D26" s="13" t="s">
        <v>18</v>
      </c>
      <c r="E26" s="14">
        <v>18</v>
      </c>
      <c r="F26" s="14">
        <v>10</v>
      </c>
      <c r="G26" s="15">
        <v>45306</v>
      </c>
      <c r="H26" s="23">
        <f t="shared" si="0"/>
        <v>180</v>
      </c>
    </row>
    <row r="27" spans="1:8" ht="21" thickBot="1" x14ac:dyDescent="0.35">
      <c r="A27" s="14">
        <v>1009</v>
      </c>
      <c r="B27" s="13" t="s">
        <v>30</v>
      </c>
      <c r="C27" s="13" t="s">
        <v>14</v>
      </c>
      <c r="D27" s="13" t="s">
        <v>21</v>
      </c>
      <c r="E27" s="14">
        <v>22</v>
      </c>
      <c r="F27" s="14">
        <v>25</v>
      </c>
      <c r="G27" s="15">
        <v>45308</v>
      </c>
      <c r="H27" s="23">
        <f t="shared" si="0"/>
        <v>550</v>
      </c>
    </row>
    <row r="28" spans="1:8" ht="21" thickBot="1" x14ac:dyDescent="0.35">
      <c r="A28" s="14">
        <v>1010</v>
      </c>
      <c r="B28" s="13" t="s">
        <v>31</v>
      </c>
      <c r="C28" s="13" t="s">
        <v>17</v>
      </c>
      <c r="D28" s="13" t="s">
        <v>15</v>
      </c>
      <c r="E28" s="14">
        <v>8</v>
      </c>
      <c r="F28" s="14">
        <v>50</v>
      </c>
      <c r="G28" s="15">
        <v>45309</v>
      </c>
      <c r="H28" s="23">
        <f t="shared" si="0"/>
        <v>400</v>
      </c>
    </row>
    <row r="29" spans="1:8" ht="21" thickBot="1" x14ac:dyDescent="0.35">
      <c r="A29" s="14">
        <v>1011</v>
      </c>
      <c r="B29" s="13" t="s">
        <v>32</v>
      </c>
      <c r="C29" s="13" t="s">
        <v>20</v>
      </c>
      <c r="D29" s="13" t="s">
        <v>25</v>
      </c>
      <c r="E29" s="14">
        <v>40</v>
      </c>
      <c r="F29" s="14">
        <v>5</v>
      </c>
      <c r="G29" s="15">
        <v>45310</v>
      </c>
      <c r="H29" s="23">
        <f t="shared" si="0"/>
        <v>200</v>
      </c>
    </row>
    <row r="30" spans="1:8" ht="21" thickBot="1" x14ac:dyDescent="0.35">
      <c r="A30" s="14">
        <v>1012</v>
      </c>
      <c r="B30" s="13" t="s">
        <v>33</v>
      </c>
      <c r="C30" s="13" t="s">
        <v>23</v>
      </c>
      <c r="D30" s="13" t="s">
        <v>28</v>
      </c>
      <c r="E30" s="14">
        <v>35</v>
      </c>
      <c r="F30" s="14">
        <v>8</v>
      </c>
      <c r="G30" s="15">
        <v>45311</v>
      </c>
      <c r="H30" s="23">
        <f t="shared" si="0"/>
        <v>280</v>
      </c>
    </row>
    <row r="31" spans="1:8" ht="21" thickBot="1" x14ac:dyDescent="0.35">
      <c r="A31" s="14">
        <v>1013</v>
      </c>
      <c r="B31" s="13" t="s">
        <v>34</v>
      </c>
      <c r="C31" s="13" t="s">
        <v>14</v>
      </c>
      <c r="D31" s="13" t="s">
        <v>15</v>
      </c>
      <c r="E31" s="14">
        <v>14</v>
      </c>
      <c r="F31" s="14">
        <v>50</v>
      </c>
      <c r="G31" s="15">
        <v>45313</v>
      </c>
      <c r="H31" s="23">
        <f t="shared" si="0"/>
        <v>700</v>
      </c>
    </row>
    <row r="32" spans="1:8" ht="21" thickBot="1" x14ac:dyDescent="0.35">
      <c r="A32" s="14">
        <v>1014</v>
      </c>
      <c r="B32" s="13" t="s">
        <v>35</v>
      </c>
      <c r="C32" s="13" t="s">
        <v>17</v>
      </c>
      <c r="D32" s="13" t="s">
        <v>18</v>
      </c>
      <c r="E32" s="14">
        <v>28</v>
      </c>
      <c r="F32" s="14">
        <v>10</v>
      </c>
      <c r="G32" s="15">
        <v>45314</v>
      </c>
      <c r="H32" s="23">
        <f t="shared" si="0"/>
        <v>280</v>
      </c>
    </row>
    <row r="33" spans="1:8" ht="21" thickBot="1" x14ac:dyDescent="0.35">
      <c r="A33" s="14">
        <v>1015</v>
      </c>
      <c r="B33" s="13" t="s">
        <v>36</v>
      </c>
      <c r="C33" s="13" t="s">
        <v>20</v>
      </c>
      <c r="D33" s="13" t="s">
        <v>21</v>
      </c>
      <c r="E33" s="14">
        <v>12</v>
      </c>
      <c r="F33" s="14">
        <v>25</v>
      </c>
      <c r="G33" s="15">
        <v>45315</v>
      </c>
      <c r="H33" s="23">
        <f t="shared" si="0"/>
        <v>300</v>
      </c>
    </row>
    <row r="34" spans="1:8" ht="21" thickBot="1" x14ac:dyDescent="0.35">
      <c r="A34" s="14">
        <v>1016</v>
      </c>
      <c r="B34" s="13" t="s">
        <v>37</v>
      </c>
      <c r="C34" s="13" t="s">
        <v>23</v>
      </c>
      <c r="D34" s="13" t="s">
        <v>25</v>
      </c>
      <c r="E34" s="14">
        <v>25</v>
      </c>
      <c r="F34" s="14">
        <v>5</v>
      </c>
      <c r="G34" s="15">
        <v>45317</v>
      </c>
      <c r="H34" s="23">
        <f t="shared" si="0"/>
        <v>125</v>
      </c>
    </row>
    <row r="35" spans="1:8" ht="21" thickBot="1" x14ac:dyDescent="0.35">
      <c r="A35" s="14">
        <v>1017</v>
      </c>
      <c r="B35" s="13" t="s">
        <v>38</v>
      </c>
      <c r="C35" s="13" t="s">
        <v>14</v>
      </c>
      <c r="D35" s="13" t="s">
        <v>28</v>
      </c>
      <c r="E35" s="14">
        <v>20</v>
      </c>
      <c r="F35" s="14">
        <v>8</v>
      </c>
      <c r="G35" s="15">
        <v>45319</v>
      </c>
      <c r="H35" s="23">
        <f t="shared" si="0"/>
        <v>160</v>
      </c>
    </row>
    <row r="36" spans="1:8" ht="21" thickBot="1" x14ac:dyDescent="0.35">
      <c r="A36" s="14">
        <v>1018</v>
      </c>
      <c r="B36" s="13" t="s">
        <v>39</v>
      </c>
      <c r="C36" s="13" t="s">
        <v>17</v>
      </c>
      <c r="D36" s="13" t="s">
        <v>15</v>
      </c>
      <c r="E36" s="14">
        <v>10</v>
      </c>
      <c r="F36" s="14">
        <v>50</v>
      </c>
      <c r="G36" s="15">
        <v>45320</v>
      </c>
      <c r="H36" s="23">
        <f t="shared" si="0"/>
        <v>500</v>
      </c>
    </row>
    <row r="37" spans="1:8" ht="21" thickBot="1" x14ac:dyDescent="0.35">
      <c r="A37" s="14">
        <v>1019</v>
      </c>
      <c r="B37" s="13" t="s">
        <v>40</v>
      </c>
      <c r="C37" s="13" t="s">
        <v>20</v>
      </c>
      <c r="D37" s="13" t="s">
        <v>18</v>
      </c>
      <c r="E37" s="14">
        <v>15</v>
      </c>
      <c r="F37" s="14">
        <v>10</v>
      </c>
      <c r="G37" s="15">
        <v>45321</v>
      </c>
      <c r="H37" s="23">
        <f t="shared" si="0"/>
        <v>150</v>
      </c>
    </row>
    <row r="38" spans="1:8" ht="21" thickBot="1" x14ac:dyDescent="0.35">
      <c r="A38" s="14">
        <v>1020</v>
      </c>
      <c r="B38" s="13" t="s">
        <v>41</v>
      </c>
      <c r="C38" s="13" t="s">
        <v>23</v>
      </c>
      <c r="D38" s="13" t="s">
        <v>21</v>
      </c>
      <c r="E38" s="14">
        <v>18</v>
      </c>
      <c r="F38" s="14">
        <v>25</v>
      </c>
      <c r="G38" s="15">
        <v>45323</v>
      </c>
      <c r="H38" s="23">
        <f t="shared" si="0"/>
        <v>450</v>
      </c>
    </row>
    <row r="39" spans="1:8" ht="21" thickBot="1" x14ac:dyDescent="0.35">
      <c r="A39" s="14">
        <v>1021</v>
      </c>
      <c r="B39" s="13" t="s">
        <v>42</v>
      </c>
      <c r="C39" s="13" t="s">
        <v>14</v>
      </c>
      <c r="D39" s="13" t="s">
        <v>15</v>
      </c>
      <c r="E39" s="14">
        <v>9</v>
      </c>
      <c r="F39" s="14">
        <v>50</v>
      </c>
      <c r="G39" s="15">
        <v>45324</v>
      </c>
      <c r="H39" s="23">
        <f t="shared" si="0"/>
        <v>450</v>
      </c>
    </row>
    <row r="40" spans="1:8" ht="21" thickBot="1" x14ac:dyDescent="0.35">
      <c r="A40" s="14">
        <v>1022</v>
      </c>
      <c r="B40" s="13" t="s">
        <v>43</v>
      </c>
      <c r="C40" s="13" t="s">
        <v>17</v>
      </c>
      <c r="D40" s="13" t="s">
        <v>25</v>
      </c>
      <c r="E40" s="14">
        <v>35</v>
      </c>
      <c r="F40" s="14">
        <v>5</v>
      </c>
      <c r="G40" s="15">
        <v>45325</v>
      </c>
      <c r="H40" s="23">
        <f t="shared" si="0"/>
        <v>175</v>
      </c>
    </row>
    <row r="41" spans="1:8" ht="21" thickBot="1" x14ac:dyDescent="0.35">
      <c r="A41" s="14">
        <v>1023</v>
      </c>
      <c r="B41" s="13" t="s">
        <v>44</v>
      </c>
      <c r="C41" s="13" t="s">
        <v>20</v>
      </c>
      <c r="D41" s="13" t="s">
        <v>28</v>
      </c>
      <c r="E41" s="14">
        <v>30</v>
      </c>
      <c r="F41" s="14">
        <v>8</v>
      </c>
      <c r="G41" s="15">
        <v>45326</v>
      </c>
      <c r="H41" s="23">
        <f t="shared" si="0"/>
        <v>240</v>
      </c>
    </row>
    <row r="42" spans="1:8" ht="21" thickBot="1" x14ac:dyDescent="0.35">
      <c r="A42" s="14">
        <v>1024</v>
      </c>
      <c r="B42" s="13" t="s">
        <v>45</v>
      </c>
      <c r="C42" s="13" t="s">
        <v>23</v>
      </c>
      <c r="D42" s="13" t="s">
        <v>15</v>
      </c>
      <c r="E42" s="14">
        <v>11</v>
      </c>
      <c r="F42" s="14">
        <v>50</v>
      </c>
      <c r="G42" s="15">
        <v>45328</v>
      </c>
      <c r="H42" s="23">
        <f t="shared" si="0"/>
        <v>550</v>
      </c>
    </row>
    <row r="43" spans="1:8" ht="21" thickBot="1" x14ac:dyDescent="0.35">
      <c r="A43" s="14">
        <v>1025</v>
      </c>
      <c r="B43" s="13" t="s">
        <v>46</v>
      </c>
      <c r="C43" s="13" t="s">
        <v>14</v>
      </c>
      <c r="D43" s="13" t="s">
        <v>18</v>
      </c>
      <c r="E43" s="14">
        <v>14</v>
      </c>
      <c r="F43" s="14">
        <v>10</v>
      </c>
      <c r="G43" s="15">
        <v>45329</v>
      </c>
      <c r="H43" s="23">
        <f t="shared" si="0"/>
        <v>140</v>
      </c>
    </row>
    <row r="44" spans="1:8" ht="21" thickBot="1" x14ac:dyDescent="0.35">
      <c r="A44" s="14">
        <v>1026</v>
      </c>
      <c r="B44" s="13" t="s">
        <v>47</v>
      </c>
      <c r="C44" s="13" t="s">
        <v>17</v>
      </c>
      <c r="D44" s="13" t="s">
        <v>21</v>
      </c>
      <c r="E44" s="14">
        <v>16</v>
      </c>
      <c r="F44" s="14">
        <v>25</v>
      </c>
      <c r="G44" s="15">
        <v>45330</v>
      </c>
      <c r="H44" s="23">
        <f t="shared" si="0"/>
        <v>400</v>
      </c>
    </row>
    <row r="45" spans="1:8" ht="21" thickBot="1" x14ac:dyDescent="0.35">
      <c r="A45" s="14">
        <v>1027</v>
      </c>
      <c r="B45" s="13" t="s">
        <v>48</v>
      </c>
      <c r="C45" s="13" t="s">
        <v>20</v>
      </c>
      <c r="D45" s="13" t="s">
        <v>25</v>
      </c>
      <c r="E45" s="14">
        <v>22</v>
      </c>
      <c r="F45" s="14">
        <v>5</v>
      </c>
      <c r="G45" s="15">
        <v>45331</v>
      </c>
      <c r="H45" s="23">
        <f t="shared" si="0"/>
        <v>110</v>
      </c>
    </row>
    <row r="46" spans="1:8" ht="21" thickBot="1" x14ac:dyDescent="0.35">
      <c r="A46" s="14">
        <v>1028</v>
      </c>
      <c r="B46" s="13" t="s">
        <v>49</v>
      </c>
      <c r="C46" s="13" t="s">
        <v>23</v>
      </c>
      <c r="D46" s="13" t="s">
        <v>28</v>
      </c>
      <c r="E46" s="14">
        <v>27</v>
      </c>
      <c r="F46" s="14">
        <v>8</v>
      </c>
      <c r="G46" s="15">
        <v>45332</v>
      </c>
      <c r="H46" s="23">
        <f t="shared" si="0"/>
        <v>216</v>
      </c>
    </row>
    <row r="47" spans="1:8" ht="21" thickBot="1" x14ac:dyDescent="0.35">
      <c r="A47" s="14">
        <v>1029</v>
      </c>
      <c r="B47" s="13" t="s">
        <v>50</v>
      </c>
      <c r="C47" s="13" t="s">
        <v>14</v>
      </c>
      <c r="D47" s="13" t="s">
        <v>15</v>
      </c>
      <c r="E47" s="14">
        <v>13</v>
      </c>
      <c r="F47" s="14">
        <v>50</v>
      </c>
      <c r="G47" s="15">
        <v>45334</v>
      </c>
      <c r="H47" s="23">
        <f t="shared" si="0"/>
        <v>650</v>
      </c>
    </row>
    <row r="48" spans="1:8" ht="21" thickBot="1" x14ac:dyDescent="0.35">
      <c r="A48" s="14">
        <v>1030</v>
      </c>
      <c r="B48" s="13" t="s">
        <v>51</v>
      </c>
      <c r="C48" s="13" t="s">
        <v>17</v>
      </c>
      <c r="D48" s="13" t="s">
        <v>18</v>
      </c>
      <c r="E48" s="14">
        <v>32</v>
      </c>
      <c r="F48" s="14">
        <v>10</v>
      </c>
      <c r="G48" s="15">
        <v>45335</v>
      </c>
      <c r="H48" s="23">
        <f t="shared" si="0"/>
        <v>320</v>
      </c>
    </row>
    <row r="49" spans="1:8" ht="21" thickBot="1" x14ac:dyDescent="0.35">
      <c r="A49" s="14">
        <v>1031</v>
      </c>
      <c r="B49" s="13" t="s">
        <v>52</v>
      </c>
      <c r="C49" s="13" t="s">
        <v>20</v>
      </c>
      <c r="D49" s="13" t="s">
        <v>21</v>
      </c>
      <c r="E49" s="14">
        <v>10</v>
      </c>
      <c r="F49" s="14">
        <v>25</v>
      </c>
      <c r="G49" s="15">
        <v>45336</v>
      </c>
      <c r="H49" s="23">
        <f t="shared" si="0"/>
        <v>250</v>
      </c>
    </row>
    <row r="50" spans="1:8" ht="21" thickBot="1" x14ac:dyDescent="0.35">
      <c r="A50" s="14">
        <v>1032</v>
      </c>
      <c r="B50" s="13" t="s">
        <v>53</v>
      </c>
      <c r="C50" s="13" t="s">
        <v>23</v>
      </c>
      <c r="D50" s="13" t="s">
        <v>25</v>
      </c>
      <c r="E50" s="14">
        <v>18</v>
      </c>
      <c r="F50" s="14">
        <v>5</v>
      </c>
      <c r="G50" s="15">
        <v>45338</v>
      </c>
      <c r="H50" s="23">
        <f t="shared" si="0"/>
        <v>90</v>
      </c>
    </row>
    <row r="51" spans="1:8" ht="21" thickBot="1" x14ac:dyDescent="0.35">
      <c r="A51" s="14">
        <v>1033</v>
      </c>
      <c r="B51" s="13" t="s">
        <v>54</v>
      </c>
      <c r="C51" s="13" t="s">
        <v>14</v>
      </c>
      <c r="D51" s="13" t="s">
        <v>28</v>
      </c>
      <c r="E51" s="14">
        <v>22</v>
      </c>
      <c r="F51" s="14">
        <v>8</v>
      </c>
      <c r="G51" s="15">
        <v>45339</v>
      </c>
      <c r="H51" s="23">
        <f t="shared" si="0"/>
        <v>176</v>
      </c>
    </row>
    <row r="52" spans="1:8" ht="21" thickBot="1" x14ac:dyDescent="0.35">
      <c r="A52" s="14">
        <v>1034</v>
      </c>
      <c r="B52" s="13" t="s">
        <v>55</v>
      </c>
      <c r="C52" s="13" t="s">
        <v>17</v>
      </c>
      <c r="D52" s="13" t="s">
        <v>15</v>
      </c>
      <c r="E52" s="14">
        <v>17</v>
      </c>
      <c r="F52" s="14">
        <v>50</v>
      </c>
      <c r="G52" s="15">
        <v>45340</v>
      </c>
      <c r="H52" s="23">
        <f t="shared" si="0"/>
        <v>850</v>
      </c>
    </row>
    <row r="53" spans="1:8" ht="21" thickBot="1" x14ac:dyDescent="0.35">
      <c r="A53" s="14">
        <v>1035</v>
      </c>
      <c r="B53" s="13" t="s">
        <v>56</v>
      </c>
      <c r="C53" s="13" t="s">
        <v>20</v>
      </c>
      <c r="D53" s="13" t="s">
        <v>18</v>
      </c>
      <c r="E53" s="14">
        <v>19</v>
      </c>
      <c r="F53" s="14">
        <v>10</v>
      </c>
      <c r="G53" s="15">
        <v>45341</v>
      </c>
      <c r="H53" s="23">
        <f t="shared" si="0"/>
        <v>190</v>
      </c>
    </row>
    <row r="54" spans="1:8" ht="21" thickBot="1" x14ac:dyDescent="0.35">
      <c r="A54" s="14">
        <v>1036</v>
      </c>
      <c r="B54" s="13" t="s">
        <v>57</v>
      </c>
      <c r="C54" s="13" t="s">
        <v>23</v>
      </c>
      <c r="D54" s="13" t="s">
        <v>21</v>
      </c>
      <c r="E54" s="14">
        <v>15</v>
      </c>
      <c r="F54" s="14">
        <v>25</v>
      </c>
      <c r="G54" s="15">
        <v>45343</v>
      </c>
      <c r="H54" s="23">
        <f t="shared" si="0"/>
        <v>375</v>
      </c>
    </row>
    <row r="55" spans="1:8" ht="21" thickBot="1" x14ac:dyDescent="0.35">
      <c r="A55" s="14">
        <v>1037</v>
      </c>
      <c r="B55" s="13" t="s">
        <v>58</v>
      </c>
      <c r="C55" s="13" t="s">
        <v>14</v>
      </c>
      <c r="D55" s="13" t="s">
        <v>25</v>
      </c>
      <c r="E55" s="14">
        <v>28</v>
      </c>
      <c r="F55" s="14">
        <v>5</v>
      </c>
      <c r="G55" s="15">
        <v>45344</v>
      </c>
      <c r="H55" s="23">
        <f t="shared" si="0"/>
        <v>140</v>
      </c>
    </row>
    <row r="56" spans="1:8" ht="21" thickBot="1" x14ac:dyDescent="0.35">
      <c r="A56" s="14">
        <v>1038</v>
      </c>
      <c r="B56" s="13" t="s">
        <v>59</v>
      </c>
      <c r="C56" s="13" t="s">
        <v>17</v>
      </c>
      <c r="D56" s="13" t="s">
        <v>28</v>
      </c>
      <c r="E56" s="14">
        <v>24</v>
      </c>
      <c r="F56" s="14">
        <v>8</v>
      </c>
      <c r="G56" s="15">
        <v>45345</v>
      </c>
      <c r="H56" s="23">
        <f t="shared" si="0"/>
        <v>192</v>
      </c>
    </row>
    <row r="57" spans="1:8" ht="21" thickBot="1" x14ac:dyDescent="0.35">
      <c r="A57" s="14">
        <v>1039</v>
      </c>
      <c r="B57" s="13" t="s">
        <v>60</v>
      </c>
      <c r="C57" s="13" t="s">
        <v>20</v>
      </c>
      <c r="D57" s="13" t="s">
        <v>15</v>
      </c>
      <c r="E57" s="14">
        <v>16</v>
      </c>
      <c r="F57" s="14">
        <v>50</v>
      </c>
      <c r="G57" s="15">
        <v>45347</v>
      </c>
      <c r="H57" s="23">
        <f t="shared" si="0"/>
        <v>800</v>
      </c>
    </row>
    <row r="58" spans="1:8" ht="21" thickBot="1" x14ac:dyDescent="0.35">
      <c r="A58" s="14">
        <v>1040</v>
      </c>
      <c r="B58" s="13" t="s">
        <v>61</v>
      </c>
      <c r="C58" s="13" t="s">
        <v>23</v>
      </c>
      <c r="D58" s="13" t="s">
        <v>18</v>
      </c>
      <c r="E58" s="14">
        <v>27</v>
      </c>
      <c r="F58" s="14">
        <v>10</v>
      </c>
      <c r="G58" s="15">
        <v>45348</v>
      </c>
      <c r="H58" s="23">
        <f t="shared" si="0"/>
        <v>270</v>
      </c>
    </row>
    <row r="59" spans="1:8" ht="21" thickBot="1" x14ac:dyDescent="0.35">
      <c r="A59" s="14">
        <v>1041</v>
      </c>
      <c r="B59" s="13" t="s">
        <v>62</v>
      </c>
      <c r="C59" s="13" t="s">
        <v>14</v>
      </c>
      <c r="D59" s="13" t="s">
        <v>21</v>
      </c>
      <c r="E59" s="14">
        <v>21</v>
      </c>
      <c r="F59" s="14">
        <v>25</v>
      </c>
      <c r="G59" s="15">
        <v>45349</v>
      </c>
      <c r="H59" s="23">
        <f t="shared" si="0"/>
        <v>525</v>
      </c>
    </row>
    <row r="60" spans="1:8" ht="21" thickBot="1" x14ac:dyDescent="0.35">
      <c r="A60" s="14">
        <v>1042</v>
      </c>
      <c r="B60" s="13" t="s">
        <v>63</v>
      </c>
      <c r="C60" s="13" t="s">
        <v>17</v>
      </c>
      <c r="D60" s="13" t="s">
        <v>25</v>
      </c>
      <c r="E60" s="14">
        <v>30</v>
      </c>
      <c r="F60" s="14">
        <v>5</v>
      </c>
      <c r="G60" s="15">
        <v>45350</v>
      </c>
      <c r="H60" s="23">
        <f t="shared" si="0"/>
        <v>150</v>
      </c>
    </row>
    <row r="61" spans="1:8" ht="21" thickBot="1" x14ac:dyDescent="0.35">
      <c r="A61" s="14">
        <v>1043</v>
      </c>
      <c r="B61" s="13" t="s">
        <v>64</v>
      </c>
      <c r="C61" s="13" t="s">
        <v>20</v>
      </c>
      <c r="D61" s="13" t="s">
        <v>28</v>
      </c>
      <c r="E61" s="14">
        <v>26</v>
      </c>
      <c r="F61" s="14">
        <v>8</v>
      </c>
      <c r="G61" s="15">
        <v>45352</v>
      </c>
      <c r="H61" s="23">
        <f t="shared" si="0"/>
        <v>208</v>
      </c>
    </row>
    <row r="62" spans="1:8" ht="21" thickBot="1" x14ac:dyDescent="0.35">
      <c r="A62" s="14">
        <v>1044</v>
      </c>
      <c r="B62" s="13" t="s">
        <v>65</v>
      </c>
      <c r="C62" s="13" t="s">
        <v>23</v>
      </c>
      <c r="D62" s="13" t="s">
        <v>15</v>
      </c>
      <c r="E62" s="14">
        <v>14</v>
      </c>
      <c r="F62" s="14">
        <v>50</v>
      </c>
      <c r="G62" s="15">
        <v>45353</v>
      </c>
      <c r="H62" s="23">
        <f t="shared" si="0"/>
        <v>700</v>
      </c>
    </row>
    <row r="63" spans="1:8" ht="21" thickBot="1" x14ac:dyDescent="0.35">
      <c r="A63" s="14">
        <v>1045</v>
      </c>
      <c r="B63" s="13" t="s">
        <v>66</v>
      </c>
      <c r="C63" s="13" t="s">
        <v>14</v>
      </c>
      <c r="D63" s="13" t="s">
        <v>18</v>
      </c>
      <c r="E63" s="14">
        <v>20</v>
      </c>
      <c r="F63" s="14">
        <v>10</v>
      </c>
      <c r="G63" s="15">
        <v>45354</v>
      </c>
      <c r="H63" s="23">
        <f t="shared" si="0"/>
        <v>200</v>
      </c>
    </row>
    <row r="64" spans="1:8" ht="21" thickBot="1" x14ac:dyDescent="0.35">
      <c r="A64" s="14">
        <v>1046</v>
      </c>
      <c r="B64" s="13" t="s">
        <v>67</v>
      </c>
      <c r="C64" s="13" t="s">
        <v>17</v>
      </c>
      <c r="D64" s="13" t="s">
        <v>21</v>
      </c>
      <c r="E64" s="14">
        <v>17</v>
      </c>
      <c r="F64" s="14">
        <v>25</v>
      </c>
      <c r="G64" s="15">
        <v>45355</v>
      </c>
      <c r="H64" s="23">
        <f t="shared" si="0"/>
        <v>425</v>
      </c>
    </row>
    <row r="65" spans="1:8" ht="21" thickBot="1" x14ac:dyDescent="0.35">
      <c r="A65" s="14">
        <v>1047</v>
      </c>
      <c r="B65" s="13" t="s">
        <v>68</v>
      </c>
      <c r="C65" s="13" t="s">
        <v>20</v>
      </c>
      <c r="D65" s="13" t="s">
        <v>25</v>
      </c>
      <c r="E65" s="14">
        <v>19</v>
      </c>
      <c r="F65" s="14">
        <v>5</v>
      </c>
      <c r="G65" s="15">
        <v>45356</v>
      </c>
      <c r="H65" s="23">
        <f t="shared" si="0"/>
        <v>95</v>
      </c>
    </row>
    <row r="66" spans="1:8" ht="21" thickBot="1" x14ac:dyDescent="0.35">
      <c r="A66" s="14">
        <v>1048</v>
      </c>
      <c r="B66" s="13" t="s">
        <v>69</v>
      </c>
      <c r="C66" s="13" t="s">
        <v>23</v>
      </c>
      <c r="D66" s="13" t="s">
        <v>28</v>
      </c>
      <c r="E66" s="14">
        <v>32</v>
      </c>
      <c r="F66" s="14">
        <v>8</v>
      </c>
      <c r="G66" s="15">
        <v>45357</v>
      </c>
      <c r="H66" s="23">
        <f t="shared" si="0"/>
        <v>256</v>
      </c>
    </row>
    <row r="67" spans="1:8" ht="21" thickBot="1" x14ac:dyDescent="0.35">
      <c r="A67" s="14">
        <v>1049</v>
      </c>
      <c r="B67" s="13" t="s">
        <v>70</v>
      </c>
      <c r="C67" s="13" t="s">
        <v>14</v>
      </c>
      <c r="D67" s="13" t="s">
        <v>15</v>
      </c>
      <c r="E67" s="14">
        <v>12</v>
      </c>
      <c r="F67" s="14">
        <v>50</v>
      </c>
      <c r="G67" s="15">
        <v>45358</v>
      </c>
      <c r="H67" s="23">
        <f t="shared" si="0"/>
        <v>600</v>
      </c>
    </row>
    <row r="68" spans="1:8" ht="21" thickBot="1" x14ac:dyDescent="0.35">
      <c r="A68" s="14">
        <v>1050</v>
      </c>
      <c r="B68" s="13" t="s">
        <v>71</v>
      </c>
      <c r="C68" s="13" t="s">
        <v>17</v>
      </c>
      <c r="D68" s="13" t="s">
        <v>18</v>
      </c>
      <c r="E68" s="14">
        <v>25</v>
      </c>
      <c r="F68" s="14">
        <v>10</v>
      </c>
      <c r="G68" s="15">
        <v>45359</v>
      </c>
      <c r="H68" s="23">
        <f t="shared" si="0"/>
        <v>250</v>
      </c>
    </row>
    <row r="69" spans="1:8" ht="37.5" thickBot="1" x14ac:dyDescent="0.35">
      <c r="A69" s="22" t="s">
        <v>86</v>
      </c>
      <c r="B69" s="24">
        <f>COUNTA(B19:B68)</f>
        <v>50</v>
      </c>
      <c r="C69" s="11"/>
      <c r="D69" s="11"/>
      <c r="E69" s="11"/>
      <c r="F69" s="11"/>
    </row>
    <row r="70" spans="1:8" ht="51" x14ac:dyDescent="0.3">
      <c r="A70" s="25" t="s">
        <v>87</v>
      </c>
      <c r="B70" s="26">
        <f>SUM(H19+H31+H39+H47+H67)</f>
        <v>2900</v>
      </c>
    </row>
    <row r="73" spans="1:8" x14ac:dyDescent="0.25">
      <c r="D73" s="18"/>
    </row>
    <row r="74" spans="1:8" ht="15.75" thickBot="1" x14ac:dyDescent="0.3">
      <c r="B74" t="s">
        <v>85</v>
      </c>
    </row>
    <row r="75" spans="1:8" ht="15.75" thickBot="1" x14ac:dyDescent="0.3">
      <c r="B75" s="27" t="s">
        <v>11</v>
      </c>
      <c r="C75" s="27" t="s">
        <v>82</v>
      </c>
      <c r="D75" s="27" t="s">
        <v>12</v>
      </c>
      <c r="E75" s="27" t="s">
        <v>83</v>
      </c>
      <c r="F75" s="28" t="s">
        <v>84</v>
      </c>
    </row>
    <row r="76" spans="1:8" ht="15.75" thickBot="1" x14ac:dyDescent="0.3">
      <c r="B76" s="29" t="s">
        <v>14</v>
      </c>
      <c r="C76" s="30" t="s">
        <v>15</v>
      </c>
      <c r="D76" s="31">
        <v>10</v>
      </c>
      <c r="E76" s="32">
        <v>50</v>
      </c>
      <c r="F76" s="33">
        <f>PRODUCT(D76*E76)</f>
        <v>500</v>
      </c>
    </row>
    <row r="77" spans="1:8" ht="15.75" thickBot="1" x14ac:dyDescent="0.3">
      <c r="B77" s="29" t="s">
        <v>17</v>
      </c>
      <c r="C77" s="30" t="s">
        <v>18</v>
      </c>
      <c r="D77" s="31">
        <v>20</v>
      </c>
      <c r="E77" s="32">
        <v>10</v>
      </c>
      <c r="F77" s="33">
        <f t="shared" ref="F77:F125" si="1">PRODUCT(D77*E77)</f>
        <v>200</v>
      </c>
    </row>
    <row r="78" spans="1:8" ht="15.75" thickBot="1" x14ac:dyDescent="0.3">
      <c r="B78" s="29" t="s">
        <v>20</v>
      </c>
      <c r="C78" s="30" t="s">
        <v>21</v>
      </c>
      <c r="D78" s="31">
        <v>15</v>
      </c>
      <c r="E78" s="32">
        <v>25</v>
      </c>
      <c r="F78" s="33">
        <f t="shared" si="1"/>
        <v>375</v>
      </c>
    </row>
    <row r="79" spans="1:8" ht="15.75" thickBot="1" x14ac:dyDescent="0.3">
      <c r="B79" s="29" t="s">
        <v>23</v>
      </c>
      <c r="C79" s="30" t="s">
        <v>15</v>
      </c>
      <c r="D79" s="31">
        <v>5</v>
      </c>
      <c r="E79" s="32">
        <v>50</v>
      </c>
      <c r="F79" s="33">
        <f t="shared" si="1"/>
        <v>250</v>
      </c>
    </row>
    <row r="80" spans="1:8" ht="15.75" thickBot="1" x14ac:dyDescent="0.3">
      <c r="B80" s="29" t="s">
        <v>14</v>
      </c>
      <c r="C80" s="30" t="s">
        <v>25</v>
      </c>
      <c r="D80" s="31">
        <v>30</v>
      </c>
      <c r="E80" s="32">
        <v>5</v>
      </c>
      <c r="F80" s="33">
        <f t="shared" si="1"/>
        <v>150</v>
      </c>
    </row>
    <row r="81" spans="2:6" ht="15.75" thickBot="1" x14ac:dyDescent="0.3">
      <c r="B81" s="29" t="s">
        <v>17</v>
      </c>
      <c r="C81" s="30" t="s">
        <v>15</v>
      </c>
      <c r="D81" s="31">
        <v>12</v>
      </c>
      <c r="E81" s="32">
        <v>50</v>
      </c>
      <c r="F81" s="33">
        <f t="shared" si="1"/>
        <v>600</v>
      </c>
    </row>
    <row r="82" spans="2:6" ht="15.75" thickBot="1" x14ac:dyDescent="0.3">
      <c r="B82" s="29" t="s">
        <v>20</v>
      </c>
      <c r="C82" s="30" t="s">
        <v>28</v>
      </c>
      <c r="D82" s="31">
        <v>25</v>
      </c>
      <c r="E82" s="32">
        <v>8</v>
      </c>
      <c r="F82" s="33">
        <f t="shared" si="1"/>
        <v>200</v>
      </c>
    </row>
    <row r="83" spans="2:6" ht="15.75" thickBot="1" x14ac:dyDescent="0.3">
      <c r="B83" s="29" t="s">
        <v>23</v>
      </c>
      <c r="C83" s="30" t="s">
        <v>18</v>
      </c>
      <c r="D83" s="31">
        <v>18</v>
      </c>
      <c r="E83" s="32">
        <v>10</v>
      </c>
      <c r="F83" s="33">
        <f t="shared" si="1"/>
        <v>180</v>
      </c>
    </row>
    <row r="84" spans="2:6" ht="15.75" thickBot="1" x14ac:dyDescent="0.3">
      <c r="B84" s="29" t="s">
        <v>14</v>
      </c>
      <c r="C84" s="30" t="s">
        <v>21</v>
      </c>
      <c r="D84" s="31">
        <v>22</v>
      </c>
      <c r="E84" s="32">
        <v>25</v>
      </c>
      <c r="F84" s="33">
        <f t="shared" si="1"/>
        <v>550</v>
      </c>
    </row>
    <row r="85" spans="2:6" ht="15.75" thickBot="1" x14ac:dyDescent="0.3">
      <c r="B85" s="29" t="s">
        <v>17</v>
      </c>
      <c r="C85" s="30" t="s">
        <v>15</v>
      </c>
      <c r="D85" s="31">
        <v>8</v>
      </c>
      <c r="E85" s="32">
        <v>50</v>
      </c>
      <c r="F85" s="33">
        <f t="shared" si="1"/>
        <v>400</v>
      </c>
    </row>
    <row r="86" spans="2:6" ht="15.75" thickBot="1" x14ac:dyDescent="0.3">
      <c r="B86" s="29" t="s">
        <v>20</v>
      </c>
      <c r="C86" s="30" t="s">
        <v>25</v>
      </c>
      <c r="D86" s="31">
        <v>40</v>
      </c>
      <c r="E86" s="32">
        <v>5</v>
      </c>
      <c r="F86" s="33">
        <f t="shared" si="1"/>
        <v>200</v>
      </c>
    </row>
    <row r="87" spans="2:6" ht="15.75" thickBot="1" x14ac:dyDescent="0.3">
      <c r="B87" s="29" t="s">
        <v>23</v>
      </c>
      <c r="C87" s="30" t="s">
        <v>28</v>
      </c>
      <c r="D87" s="31">
        <v>35</v>
      </c>
      <c r="E87" s="32">
        <v>8</v>
      </c>
      <c r="F87" s="33">
        <f t="shared" si="1"/>
        <v>280</v>
      </c>
    </row>
    <row r="88" spans="2:6" ht="15.75" thickBot="1" x14ac:dyDescent="0.3">
      <c r="B88" s="29" t="s">
        <v>14</v>
      </c>
      <c r="C88" s="30" t="s">
        <v>15</v>
      </c>
      <c r="D88" s="31">
        <v>14</v>
      </c>
      <c r="E88" s="32">
        <v>50</v>
      </c>
      <c r="F88" s="33">
        <f t="shared" si="1"/>
        <v>700</v>
      </c>
    </row>
    <row r="89" spans="2:6" ht="15.75" thickBot="1" x14ac:dyDescent="0.3">
      <c r="B89" s="29" t="s">
        <v>17</v>
      </c>
      <c r="C89" s="30" t="s">
        <v>18</v>
      </c>
      <c r="D89" s="31">
        <v>28</v>
      </c>
      <c r="E89" s="32">
        <v>10</v>
      </c>
      <c r="F89" s="33">
        <f t="shared" si="1"/>
        <v>280</v>
      </c>
    </row>
    <row r="90" spans="2:6" ht="15.75" thickBot="1" x14ac:dyDescent="0.3">
      <c r="B90" s="29" t="s">
        <v>20</v>
      </c>
      <c r="C90" s="30" t="s">
        <v>21</v>
      </c>
      <c r="D90" s="31">
        <v>12</v>
      </c>
      <c r="E90" s="32">
        <v>25</v>
      </c>
      <c r="F90" s="33">
        <f t="shared" si="1"/>
        <v>300</v>
      </c>
    </row>
    <row r="91" spans="2:6" ht="15.75" thickBot="1" x14ac:dyDescent="0.3">
      <c r="B91" s="29" t="s">
        <v>23</v>
      </c>
      <c r="C91" s="30" t="s">
        <v>25</v>
      </c>
      <c r="D91" s="31">
        <v>25</v>
      </c>
      <c r="E91" s="32">
        <v>5</v>
      </c>
      <c r="F91" s="33">
        <f t="shared" si="1"/>
        <v>125</v>
      </c>
    </row>
    <row r="92" spans="2:6" ht="15.75" thickBot="1" x14ac:dyDescent="0.3">
      <c r="B92" s="29" t="s">
        <v>14</v>
      </c>
      <c r="C92" s="30" t="s">
        <v>28</v>
      </c>
      <c r="D92" s="31">
        <v>20</v>
      </c>
      <c r="E92" s="32">
        <v>8</v>
      </c>
      <c r="F92" s="33">
        <f t="shared" si="1"/>
        <v>160</v>
      </c>
    </row>
    <row r="93" spans="2:6" ht="15.75" thickBot="1" x14ac:dyDescent="0.3">
      <c r="B93" s="29" t="s">
        <v>17</v>
      </c>
      <c r="C93" s="30" t="s">
        <v>15</v>
      </c>
      <c r="D93" s="31">
        <v>10</v>
      </c>
      <c r="E93" s="32">
        <v>50</v>
      </c>
      <c r="F93" s="33">
        <f t="shared" si="1"/>
        <v>500</v>
      </c>
    </row>
    <row r="94" spans="2:6" ht="15.75" thickBot="1" x14ac:dyDescent="0.3">
      <c r="B94" s="29" t="s">
        <v>20</v>
      </c>
      <c r="C94" s="30" t="s">
        <v>18</v>
      </c>
      <c r="D94" s="31">
        <v>15</v>
      </c>
      <c r="E94" s="32">
        <v>10</v>
      </c>
      <c r="F94" s="33">
        <f t="shared" si="1"/>
        <v>150</v>
      </c>
    </row>
    <row r="95" spans="2:6" ht="15.75" thickBot="1" x14ac:dyDescent="0.3">
      <c r="B95" s="29" t="s">
        <v>23</v>
      </c>
      <c r="C95" s="30" t="s">
        <v>21</v>
      </c>
      <c r="D95" s="31">
        <v>18</v>
      </c>
      <c r="E95" s="32">
        <v>25</v>
      </c>
      <c r="F95" s="33">
        <f t="shared" si="1"/>
        <v>450</v>
      </c>
    </row>
    <row r="96" spans="2:6" ht="15.75" thickBot="1" x14ac:dyDescent="0.3">
      <c r="B96" s="29" t="s">
        <v>14</v>
      </c>
      <c r="C96" s="30" t="s">
        <v>15</v>
      </c>
      <c r="D96" s="31">
        <v>9</v>
      </c>
      <c r="E96" s="32">
        <v>50</v>
      </c>
      <c r="F96" s="33">
        <f t="shared" si="1"/>
        <v>450</v>
      </c>
    </row>
    <row r="97" spans="2:6" ht="15.75" thickBot="1" x14ac:dyDescent="0.3">
      <c r="B97" s="29" t="s">
        <v>17</v>
      </c>
      <c r="C97" s="30" t="s">
        <v>25</v>
      </c>
      <c r="D97" s="31">
        <v>35</v>
      </c>
      <c r="E97" s="32">
        <v>5</v>
      </c>
      <c r="F97" s="33">
        <f t="shared" si="1"/>
        <v>175</v>
      </c>
    </row>
    <row r="98" spans="2:6" ht="15.75" thickBot="1" x14ac:dyDescent="0.3">
      <c r="B98" s="29" t="s">
        <v>20</v>
      </c>
      <c r="C98" s="30" t="s">
        <v>28</v>
      </c>
      <c r="D98" s="31">
        <v>30</v>
      </c>
      <c r="E98" s="32">
        <v>8</v>
      </c>
      <c r="F98" s="33">
        <f t="shared" si="1"/>
        <v>240</v>
      </c>
    </row>
    <row r="99" spans="2:6" ht="15.75" thickBot="1" x14ac:dyDescent="0.3">
      <c r="B99" s="29" t="s">
        <v>23</v>
      </c>
      <c r="C99" s="30" t="s">
        <v>15</v>
      </c>
      <c r="D99" s="31">
        <v>11</v>
      </c>
      <c r="E99" s="32">
        <v>50</v>
      </c>
      <c r="F99" s="33">
        <f t="shared" si="1"/>
        <v>550</v>
      </c>
    </row>
    <row r="100" spans="2:6" ht="15.75" thickBot="1" x14ac:dyDescent="0.3">
      <c r="B100" s="29" t="s">
        <v>14</v>
      </c>
      <c r="C100" s="30" t="s">
        <v>18</v>
      </c>
      <c r="D100" s="31">
        <v>14</v>
      </c>
      <c r="E100" s="32">
        <v>10</v>
      </c>
      <c r="F100" s="33">
        <f t="shared" si="1"/>
        <v>140</v>
      </c>
    </row>
    <row r="101" spans="2:6" ht="15.75" thickBot="1" x14ac:dyDescent="0.3">
      <c r="B101" s="29" t="s">
        <v>17</v>
      </c>
      <c r="C101" s="30" t="s">
        <v>21</v>
      </c>
      <c r="D101" s="31">
        <v>16</v>
      </c>
      <c r="E101" s="32">
        <v>25</v>
      </c>
      <c r="F101" s="33">
        <f t="shared" si="1"/>
        <v>400</v>
      </c>
    </row>
    <row r="102" spans="2:6" ht="15.75" thickBot="1" x14ac:dyDescent="0.3">
      <c r="B102" s="29" t="s">
        <v>20</v>
      </c>
      <c r="C102" s="30" t="s">
        <v>25</v>
      </c>
      <c r="D102" s="31">
        <v>22</v>
      </c>
      <c r="E102" s="32">
        <v>5</v>
      </c>
      <c r="F102" s="33">
        <f t="shared" si="1"/>
        <v>110</v>
      </c>
    </row>
    <row r="103" spans="2:6" ht="15.75" thickBot="1" x14ac:dyDescent="0.3">
      <c r="B103" s="29" t="s">
        <v>23</v>
      </c>
      <c r="C103" s="30" t="s">
        <v>28</v>
      </c>
      <c r="D103" s="31">
        <v>27</v>
      </c>
      <c r="E103" s="32">
        <v>8</v>
      </c>
      <c r="F103" s="33">
        <f t="shared" si="1"/>
        <v>216</v>
      </c>
    </row>
    <row r="104" spans="2:6" ht="15.75" thickBot="1" x14ac:dyDescent="0.3">
      <c r="B104" s="29" t="s">
        <v>14</v>
      </c>
      <c r="C104" s="30" t="s">
        <v>15</v>
      </c>
      <c r="D104" s="31">
        <v>13</v>
      </c>
      <c r="E104" s="32">
        <v>50</v>
      </c>
      <c r="F104" s="33">
        <f t="shared" si="1"/>
        <v>650</v>
      </c>
    </row>
    <row r="105" spans="2:6" ht="15.75" thickBot="1" x14ac:dyDescent="0.3">
      <c r="B105" s="29" t="s">
        <v>17</v>
      </c>
      <c r="C105" s="30" t="s">
        <v>18</v>
      </c>
      <c r="D105" s="31">
        <v>32</v>
      </c>
      <c r="E105" s="32">
        <v>10</v>
      </c>
      <c r="F105" s="33">
        <f t="shared" si="1"/>
        <v>320</v>
      </c>
    </row>
    <row r="106" spans="2:6" ht="15.75" thickBot="1" x14ac:dyDescent="0.3">
      <c r="B106" s="29" t="s">
        <v>20</v>
      </c>
      <c r="C106" s="30" t="s">
        <v>21</v>
      </c>
      <c r="D106" s="31">
        <v>10</v>
      </c>
      <c r="E106" s="32">
        <v>25</v>
      </c>
      <c r="F106" s="33">
        <f t="shared" si="1"/>
        <v>250</v>
      </c>
    </row>
    <row r="107" spans="2:6" ht="15.75" thickBot="1" x14ac:dyDescent="0.3">
      <c r="B107" s="29" t="s">
        <v>23</v>
      </c>
      <c r="C107" s="30" t="s">
        <v>25</v>
      </c>
      <c r="D107" s="31">
        <v>18</v>
      </c>
      <c r="E107" s="32">
        <v>5</v>
      </c>
      <c r="F107" s="33">
        <f t="shared" si="1"/>
        <v>90</v>
      </c>
    </row>
    <row r="108" spans="2:6" ht="15.75" thickBot="1" x14ac:dyDescent="0.3">
      <c r="B108" s="29" t="s">
        <v>14</v>
      </c>
      <c r="C108" s="30" t="s">
        <v>28</v>
      </c>
      <c r="D108" s="31">
        <v>22</v>
      </c>
      <c r="E108" s="32">
        <v>8</v>
      </c>
      <c r="F108" s="33">
        <f t="shared" si="1"/>
        <v>176</v>
      </c>
    </row>
    <row r="109" spans="2:6" ht="15.75" thickBot="1" x14ac:dyDescent="0.3">
      <c r="B109" s="29" t="s">
        <v>17</v>
      </c>
      <c r="C109" s="30" t="s">
        <v>15</v>
      </c>
      <c r="D109" s="31">
        <v>17</v>
      </c>
      <c r="E109" s="32">
        <v>50</v>
      </c>
      <c r="F109" s="33">
        <f t="shared" si="1"/>
        <v>850</v>
      </c>
    </row>
    <row r="110" spans="2:6" ht="15.75" thickBot="1" x14ac:dyDescent="0.3">
      <c r="B110" s="29" t="s">
        <v>20</v>
      </c>
      <c r="C110" s="30" t="s">
        <v>18</v>
      </c>
      <c r="D110" s="31">
        <v>19</v>
      </c>
      <c r="E110" s="32">
        <v>10</v>
      </c>
      <c r="F110" s="33">
        <f t="shared" si="1"/>
        <v>190</v>
      </c>
    </row>
    <row r="111" spans="2:6" ht="15.75" thickBot="1" x14ac:dyDescent="0.3">
      <c r="B111" s="29" t="s">
        <v>23</v>
      </c>
      <c r="C111" s="30" t="s">
        <v>21</v>
      </c>
      <c r="D111" s="31">
        <v>15</v>
      </c>
      <c r="E111" s="32">
        <v>25</v>
      </c>
      <c r="F111" s="33">
        <f t="shared" si="1"/>
        <v>375</v>
      </c>
    </row>
    <row r="112" spans="2:6" ht="15.75" thickBot="1" x14ac:dyDescent="0.3">
      <c r="B112" s="29" t="s">
        <v>14</v>
      </c>
      <c r="C112" s="30" t="s">
        <v>25</v>
      </c>
      <c r="D112" s="31">
        <v>28</v>
      </c>
      <c r="E112" s="32">
        <v>5</v>
      </c>
      <c r="F112" s="33">
        <f t="shared" si="1"/>
        <v>140</v>
      </c>
    </row>
    <row r="113" spans="2:6" ht="15.75" thickBot="1" x14ac:dyDescent="0.3">
      <c r="B113" s="29" t="s">
        <v>17</v>
      </c>
      <c r="C113" s="30" t="s">
        <v>28</v>
      </c>
      <c r="D113" s="31">
        <v>24</v>
      </c>
      <c r="E113" s="32">
        <v>8</v>
      </c>
      <c r="F113" s="33">
        <f t="shared" si="1"/>
        <v>192</v>
      </c>
    </row>
    <row r="114" spans="2:6" ht="15.75" thickBot="1" x14ac:dyDescent="0.3">
      <c r="B114" s="29" t="s">
        <v>20</v>
      </c>
      <c r="C114" s="30" t="s">
        <v>15</v>
      </c>
      <c r="D114" s="31">
        <v>16</v>
      </c>
      <c r="E114" s="32">
        <v>50</v>
      </c>
      <c r="F114" s="33">
        <f t="shared" si="1"/>
        <v>800</v>
      </c>
    </row>
    <row r="115" spans="2:6" ht="15.75" thickBot="1" x14ac:dyDescent="0.3">
      <c r="B115" s="29" t="s">
        <v>23</v>
      </c>
      <c r="C115" s="30" t="s">
        <v>18</v>
      </c>
      <c r="D115" s="31">
        <v>27</v>
      </c>
      <c r="E115" s="32">
        <v>10</v>
      </c>
      <c r="F115" s="33">
        <f t="shared" si="1"/>
        <v>270</v>
      </c>
    </row>
    <row r="116" spans="2:6" ht="15.75" thickBot="1" x14ac:dyDescent="0.3">
      <c r="B116" s="29" t="s">
        <v>14</v>
      </c>
      <c r="C116" s="30" t="s">
        <v>21</v>
      </c>
      <c r="D116" s="31">
        <v>21</v>
      </c>
      <c r="E116" s="32">
        <v>25</v>
      </c>
      <c r="F116" s="33">
        <f t="shared" si="1"/>
        <v>525</v>
      </c>
    </row>
    <row r="117" spans="2:6" ht="15.75" thickBot="1" x14ac:dyDescent="0.3">
      <c r="B117" s="29" t="s">
        <v>17</v>
      </c>
      <c r="C117" s="30" t="s">
        <v>25</v>
      </c>
      <c r="D117" s="31">
        <v>30</v>
      </c>
      <c r="E117" s="32">
        <v>5</v>
      </c>
      <c r="F117" s="33">
        <f t="shared" si="1"/>
        <v>150</v>
      </c>
    </row>
    <row r="118" spans="2:6" ht="15.75" thickBot="1" x14ac:dyDescent="0.3">
      <c r="B118" s="29" t="s">
        <v>20</v>
      </c>
      <c r="C118" s="30" t="s">
        <v>28</v>
      </c>
      <c r="D118" s="31">
        <v>26</v>
      </c>
      <c r="E118" s="32">
        <v>8</v>
      </c>
      <c r="F118" s="33">
        <f t="shared" si="1"/>
        <v>208</v>
      </c>
    </row>
    <row r="119" spans="2:6" ht="15.75" thickBot="1" x14ac:dyDescent="0.3">
      <c r="B119" s="29" t="s">
        <v>23</v>
      </c>
      <c r="C119" s="30" t="s">
        <v>15</v>
      </c>
      <c r="D119" s="31">
        <v>14</v>
      </c>
      <c r="E119" s="32">
        <v>50</v>
      </c>
      <c r="F119" s="33">
        <f t="shared" si="1"/>
        <v>700</v>
      </c>
    </row>
    <row r="120" spans="2:6" ht="15.75" thickBot="1" x14ac:dyDescent="0.3">
      <c r="B120" s="29" t="s">
        <v>14</v>
      </c>
      <c r="C120" s="30" t="s">
        <v>18</v>
      </c>
      <c r="D120" s="31">
        <v>20</v>
      </c>
      <c r="E120" s="32">
        <v>10</v>
      </c>
      <c r="F120" s="33">
        <f t="shared" si="1"/>
        <v>200</v>
      </c>
    </row>
    <row r="121" spans="2:6" ht="15.75" thickBot="1" x14ac:dyDescent="0.3">
      <c r="B121" s="29" t="s">
        <v>17</v>
      </c>
      <c r="C121" s="30" t="s">
        <v>21</v>
      </c>
      <c r="D121" s="31">
        <v>17</v>
      </c>
      <c r="E121" s="32">
        <v>25</v>
      </c>
      <c r="F121" s="33">
        <f t="shared" si="1"/>
        <v>425</v>
      </c>
    </row>
    <row r="122" spans="2:6" ht="15.75" thickBot="1" x14ac:dyDescent="0.3">
      <c r="B122" s="29" t="s">
        <v>20</v>
      </c>
      <c r="C122" s="30" t="s">
        <v>25</v>
      </c>
      <c r="D122" s="31">
        <v>19</v>
      </c>
      <c r="E122" s="32">
        <v>5</v>
      </c>
      <c r="F122" s="33">
        <f t="shared" si="1"/>
        <v>95</v>
      </c>
    </row>
    <row r="123" spans="2:6" ht="15.75" thickBot="1" x14ac:dyDescent="0.3">
      <c r="B123" s="29" t="s">
        <v>23</v>
      </c>
      <c r="C123" s="30" t="s">
        <v>28</v>
      </c>
      <c r="D123" s="31">
        <v>32</v>
      </c>
      <c r="E123" s="32">
        <v>8</v>
      </c>
      <c r="F123" s="33">
        <f t="shared" si="1"/>
        <v>256</v>
      </c>
    </row>
    <row r="124" spans="2:6" ht="15.75" thickBot="1" x14ac:dyDescent="0.3">
      <c r="B124" s="29" t="s">
        <v>14</v>
      </c>
      <c r="C124" s="30" t="s">
        <v>15</v>
      </c>
      <c r="D124" s="31">
        <v>12</v>
      </c>
      <c r="E124" s="32">
        <v>50</v>
      </c>
      <c r="F124" s="33">
        <f t="shared" si="1"/>
        <v>600</v>
      </c>
    </row>
    <row r="125" spans="2:6" ht="15.75" thickBot="1" x14ac:dyDescent="0.3">
      <c r="B125" s="29" t="s">
        <v>17</v>
      </c>
      <c r="C125" s="30" t="s">
        <v>18</v>
      </c>
      <c r="D125" s="31">
        <v>25</v>
      </c>
      <c r="E125" s="32">
        <v>10</v>
      </c>
      <c r="F125" s="33">
        <f t="shared" si="1"/>
        <v>250</v>
      </c>
    </row>
    <row r="126" spans="2:6" ht="15.75" thickBot="1" x14ac:dyDescent="0.3">
      <c r="B126" s="11"/>
      <c r="C126" s="11"/>
      <c r="D126" s="11"/>
      <c r="E126" s="11"/>
    </row>
    <row r="127" spans="2:6" ht="15.75" thickBot="1" x14ac:dyDescent="0.3">
      <c r="B127" s="11"/>
      <c r="C127" s="11"/>
      <c r="D127" s="11"/>
      <c r="E127" s="11"/>
    </row>
    <row r="133" spans="2:6" ht="15.75" thickBot="1" x14ac:dyDescent="0.3"/>
    <row r="134" spans="2:6" ht="30.75" thickBot="1" x14ac:dyDescent="0.3">
      <c r="B134" s="37" t="s">
        <v>82</v>
      </c>
      <c r="C134" s="37" t="s">
        <v>12</v>
      </c>
      <c r="D134" s="37" t="s">
        <v>83</v>
      </c>
      <c r="E134" s="37" t="s">
        <v>88</v>
      </c>
      <c r="F134" s="38" t="s">
        <v>89</v>
      </c>
    </row>
    <row r="135" spans="2:6" ht="15.75" thickBot="1" x14ac:dyDescent="0.3">
      <c r="B135" s="34" t="s">
        <v>15</v>
      </c>
      <c r="C135" s="35">
        <v>10</v>
      </c>
      <c r="D135" s="31">
        <v>50</v>
      </c>
      <c r="E135" s="36">
        <v>45296</v>
      </c>
      <c r="F135" s="33">
        <f>PRODUCT(C135*D135)</f>
        <v>500</v>
      </c>
    </row>
    <row r="136" spans="2:6" ht="15.75" thickBot="1" x14ac:dyDescent="0.3">
      <c r="B136" s="34" t="s">
        <v>18</v>
      </c>
      <c r="C136" s="35">
        <v>20</v>
      </c>
      <c r="D136" s="31">
        <v>10</v>
      </c>
      <c r="E136" s="36">
        <v>45297</v>
      </c>
      <c r="F136" s="33">
        <f t="shared" ref="F136:F184" si="2">PRODUCT(C136*D136)</f>
        <v>200</v>
      </c>
    </row>
    <row r="137" spans="2:6" ht="15.75" thickBot="1" x14ac:dyDescent="0.3">
      <c r="B137" s="34" t="s">
        <v>21</v>
      </c>
      <c r="C137" s="35">
        <v>15</v>
      </c>
      <c r="D137" s="31">
        <v>25</v>
      </c>
      <c r="E137" s="36">
        <v>45298</v>
      </c>
      <c r="F137" s="33">
        <f t="shared" si="2"/>
        <v>375</v>
      </c>
    </row>
    <row r="138" spans="2:6" ht="15.75" thickBot="1" x14ac:dyDescent="0.3">
      <c r="B138" s="34" t="s">
        <v>15</v>
      </c>
      <c r="C138" s="35">
        <v>5</v>
      </c>
      <c r="D138" s="31">
        <v>50</v>
      </c>
      <c r="E138" s="36">
        <v>45299</v>
      </c>
      <c r="F138" s="33">
        <f t="shared" si="2"/>
        <v>250</v>
      </c>
    </row>
    <row r="139" spans="2:6" ht="15.75" thickBot="1" x14ac:dyDescent="0.3">
      <c r="B139" s="34" t="s">
        <v>25</v>
      </c>
      <c r="C139" s="35">
        <v>30</v>
      </c>
      <c r="D139" s="31">
        <v>5</v>
      </c>
      <c r="E139" s="36">
        <v>45301</v>
      </c>
      <c r="F139" s="33">
        <f t="shared" si="2"/>
        <v>150</v>
      </c>
    </row>
    <row r="140" spans="2:6" ht="15.75" thickBot="1" x14ac:dyDescent="0.3">
      <c r="B140" s="34" t="s">
        <v>15</v>
      </c>
      <c r="C140" s="35">
        <v>12</v>
      </c>
      <c r="D140" s="31">
        <v>50</v>
      </c>
      <c r="E140" s="36">
        <v>45302</v>
      </c>
      <c r="F140" s="33">
        <f t="shared" si="2"/>
        <v>600</v>
      </c>
    </row>
    <row r="141" spans="2:6" ht="15.75" thickBot="1" x14ac:dyDescent="0.3">
      <c r="B141" s="34" t="s">
        <v>28</v>
      </c>
      <c r="C141" s="35">
        <v>25</v>
      </c>
      <c r="D141" s="31">
        <v>8</v>
      </c>
      <c r="E141" s="36">
        <v>45304</v>
      </c>
      <c r="F141" s="33">
        <f t="shared" si="2"/>
        <v>200</v>
      </c>
    </row>
    <row r="142" spans="2:6" ht="15.75" thickBot="1" x14ac:dyDescent="0.3">
      <c r="B142" s="34" t="s">
        <v>18</v>
      </c>
      <c r="C142" s="35">
        <v>18</v>
      </c>
      <c r="D142" s="31">
        <v>10</v>
      </c>
      <c r="E142" s="36">
        <v>45306</v>
      </c>
      <c r="F142" s="33">
        <f t="shared" si="2"/>
        <v>180</v>
      </c>
    </row>
    <row r="143" spans="2:6" ht="15.75" thickBot="1" x14ac:dyDescent="0.3">
      <c r="B143" s="34" t="s">
        <v>21</v>
      </c>
      <c r="C143" s="35">
        <v>22</v>
      </c>
      <c r="D143" s="31">
        <v>25</v>
      </c>
      <c r="E143" s="36">
        <v>45308</v>
      </c>
      <c r="F143" s="33">
        <f t="shared" si="2"/>
        <v>550</v>
      </c>
    </row>
    <row r="144" spans="2:6" ht="15.75" thickBot="1" x14ac:dyDescent="0.3">
      <c r="B144" s="34" t="s">
        <v>15</v>
      </c>
      <c r="C144" s="35">
        <v>8</v>
      </c>
      <c r="D144" s="31">
        <v>50</v>
      </c>
      <c r="E144" s="36">
        <v>45309</v>
      </c>
      <c r="F144" s="33">
        <f t="shared" si="2"/>
        <v>400</v>
      </c>
    </row>
    <row r="145" spans="2:6" ht="15.75" thickBot="1" x14ac:dyDescent="0.3">
      <c r="B145" s="34" t="s">
        <v>25</v>
      </c>
      <c r="C145" s="35">
        <v>40</v>
      </c>
      <c r="D145" s="31">
        <v>5</v>
      </c>
      <c r="E145" s="36">
        <v>45310</v>
      </c>
      <c r="F145" s="33">
        <f t="shared" si="2"/>
        <v>200</v>
      </c>
    </row>
    <row r="146" spans="2:6" ht="15.75" thickBot="1" x14ac:dyDescent="0.3">
      <c r="B146" s="34" t="s">
        <v>28</v>
      </c>
      <c r="C146" s="35">
        <v>35</v>
      </c>
      <c r="D146" s="31">
        <v>8</v>
      </c>
      <c r="E146" s="36">
        <v>45311</v>
      </c>
      <c r="F146" s="33">
        <f t="shared" si="2"/>
        <v>280</v>
      </c>
    </row>
    <row r="147" spans="2:6" ht="15.75" thickBot="1" x14ac:dyDescent="0.3">
      <c r="B147" s="34" t="s">
        <v>15</v>
      </c>
      <c r="C147" s="35">
        <v>14</v>
      </c>
      <c r="D147" s="31">
        <v>50</v>
      </c>
      <c r="E147" s="36">
        <v>45313</v>
      </c>
      <c r="F147" s="33">
        <f t="shared" si="2"/>
        <v>700</v>
      </c>
    </row>
    <row r="148" spans="2:6" ht="15.75" thickBot="1" x14ac:dyDescent="0.3">
      <c r="B148" s="34" t="s">
        <v>18</v>
      </c>
      <c r="C148" s="35">
        <v>28</v>
      </c>
      <c r="D148" s="31">
        <v>10</v>
      </c>
      <c r="E148" s="36">
        <v>45314</v>
      </c>
      <c r="F148" s="33">
        <f t="shared" si="2"/>
        <v>280</v>
      </c>
    </row>
    <row r="149" spans="2:6" ht="15.75" thickBot="1" x14ac:dyDescent="0.3">
      <c r="B149" s="34" t="s">
        <v>21</v>
      </c>
      <c r="C149" s="35">
        <v>12</v>
      </c>
      <c r="D149" s="31">
        <v>25</v>
      </c>
      <c r="E149" s="36">
        <v>45315</v>
      </c>
      <c r="F149" s="33">
        <f t="shared" si="2"/>
        <v>300</v>
      </c>
    </row>
    <row r="150" spans="2:6" ht="15.75" thickBot="1" x14ac:dyDescent="0.3">
      <c r="B150" s="34" t="s">
        <v>25</v>
      </c>
      <c r="C150" s="35">
        <v>25</v>
      </c>
      <c r="D150" s="31">
        <v>5</v>
      </c>
      <c r="E150" s="36">
        <v>45317</v>
      </c>
      <c r="F150" s="33">
        <f t="shared" si="2"/>
        <v>125</v>
      </c>
    </row>
    <row r="151" spans="2:6" ht="15.75" thickBot="1" x14ac:dyDescent="0.3">
      <c r="B151" s="34" t="s">
        <v>28</v>
      </c>
      <c r="C151" s="35">
        <v>20</v>
      </c>
      <c r="D151" s="31">
        <v>8</v>
      </c>
      <c r="E151" s="36">
        <v>45319</v>
      </c>
      <c r="F151" s="33">
        <f t="shared" si="2"/>
        <v>160</v>
      </c>
    </row>
    <row r="152" spans="2:6" ht="15.75" thickBot="1" x14ac:dyDescent="0.3">
      <c r="B152" s="34" t="s">
        <v>15</v>
      </c>
      <c r="C152" s="35">
        <v>10</v>
      </c>
      <c r="D152" s="31">
        <v>50</v>
      </c>
      <c r="E152" s="36">
        <v>45320</v>
      </c>
      <c r="F152" s="33">
        <f t="shared" si="2"/>
        <v>500</v>
      </c>
    </row>
    <row r="153" spans="2:6" ht="15.75" thickBot="1" x14ac:dyDescent="0.3">
      <c r="B153" s="34" t="s">
        <v>18</v>
      </c>
      <c r="C153" s="35">
        <v>15</v>
      </c>
      <c r="D153" s="31">
        <v>10</v>
      </c>
      <c r="E153" s="36">
        <v>45321</v>
      </c>
      <c r="F153" s="33">
        <f t="shared" si="2"/>
        <v>150</v>
      </c>
    </row>
    <row r="154" spans="2:6" ht="15.75" thickBot="1" x14ac:dyDescent="0.3">
      <c r="B154" s="34" t="s">
        <v>21</v>
      </c>
      <c r="C154" s="35">
        <v>18</v>
      </c>
      <c r="D154" s="31">
        <v>25</v>
      </c>
      <c r="E154" s="36">
        <v>45323</v>
      </c>
      <c r="F154" s="33">
        <f t="shared" si="2"/>
        <v>450</v>
      </c>
    </row>
    <row r="155" spans="2:6" ht="15.75" thickBot="1" x14ac:dyDescent="0.3">
      <c r="B155" s="34" t="s">
        <v>15</v>
      </c>
      <c r="C155" s="35">
        <v>9</v>
      </c>
      <c r="D155" s="31">
        <v>50</v>
      </c>
      <c r="E155" s="36">
        <v>45324</v>
      </c>
      <c r="F155" s="33">
        <f t="shared" si="2"/>
        <v>450</v>
      </c>
    </row>
    <row r="156" spans="2:6" ht="15.75" thickBot="1" x14ac:dyDescent="0.3">
      <c r="B156" s="34" t="s">
        <v>25</v>
      </c>
      <c r="C156" s="35">
        <v>35</v>
      </c>
      <c r="D156" s="31">
        <v>5</v>
      </c>
      <c r="E156" s="36">
        <v>45325</v>
      </c>
      <c r="F156" s="33">
        <f t="shared" si="2"/>
        <v>175</v>
      </c>
    </row>
    <row r="157" spans="2:6" ht="15.75" thickBot="1" x14ac:dyDescent="0.3">
      <c r="B157" s="34" t="s">
        <v>28</v>
      </c>
      <c r="C157" s="35">
        <v>30</v>
      </c>
      <c r="D157" s="31">
        <v>8</v>
      </c>
      <c r="E157" s="36">
        <v>45326</v>
      </c>
      <c r="F157" s="33">
        <f t="shared" si="2"/>
        <v>240</v>
      </c>
    </row>
    <row r="158" spans="2:6" ht="15.75" thickBot="1" x14ac:dyDescent="0.3">
      <c r="B158" s="34" t="s">
        <v>15</v>
      </c>
      <c r="C158" s="35">
        <v>11</v>
      </c>
      <c r="D158" s="31">
        <v>50</v>
      </c>
      <c r="E158" s="36">
        <v>45328</v>
      </c>
      <c r="F158" s="33">
        <f t="shared" si="2"/>
        <v>550</v>
      </c>
    </row>
    <row r="159" spans="2:6" ht="15.75" thickBot="1" x14ac:dyDescent="0.3">
      <c r="B159" s="34" t="s">
        <v>18</v>
      </c>
      <c r="C159" s="35">
        <v>14</v>
      </c>
      <c r="D159" s="31">
        <v>10</v>
      </c>
      <c r="E159" s="36">
        <v>45329</v>
      </c>
      <c r="F159" s="33">
        <f t="shared" si="2"/>
        <v>140</v>
      </c>
    </row>
    <row r="160" spans="2:6" ht="15.75" thickBot="1" x14ac:dyDescent="0.3">
      <c r="B160" s="34" t="s">
        <v>21</v>
      </c>
      <c r="C160" s="35">
        <v>16</v>
      </c>
      <c r="D160" s="31">
        <v>25</v>
      </c>
      <c r="E160" s="36">
        <v>45330</v>
      </c>
      <c r="F160" s="33">
        <f t="shared" si="2"/>
        <v>400</v>
      </c>
    </row>
    <row r="161" spans="2:6" ht="15.75" thickBot="1" x14ac:dyDescent="0.3">
      <c r="B161" s="34" t="s">
        <v>25</v>
      </c>
      <c r="C161" s="35">
        <v>22</v>
      </c>
      <c r="D161" s="31">
        <v>5</v>
      </c>
      <c r="E161" s="36">
        <v>45331</v>
      </c>
      <c r="F161" s="33">
        <f t="shared" si="2"/>
        <v>110</v>
      </c>
    </row>
    <row r="162" spans="2:6" ht="15.75" thickBot="1" x14ac:dyDescent="0.3">
      <c r="B162" s="34" t="s">
        <v>28</v>
      </c>
      <c r="C162" s="35">
        <v>27</v>
      </c>
      <c r="D162" s="31">
        <v>8</v>
      </c>
      <c r="E162" s="36">
        <v>45332</v>
      </c>
      <c r="F162" s="33">
        <f t="shared" si="2"/>
        <v>216</v>
      </c>
    </row>
    <row r="163" spans="2:6" ht="15.75" thickBot="1" x14ac:dyDescent="0.3">
      <c r="B163" s="34" t="s">
        <v>15</v>
      </c>
      <c r="C163" s="35">
        <v>13</v>
      </c>
      <c r="D163" s="31">
        <v>50</v>
      </c>
      <c r="E163" s="36">
        <v>45334</v>
      </c>
      <c r="F163" s="33">
        <f t="shared" si="2"/>
        <v>650</v>
      </c>
    </row>
    <row r="164" spans="2:6" ht="15.75" thickBot="1" x14ac:dyDescent="0.3">
      <c r="B164" s="34" t="s">
        <v>18</v>
      </c>
      <c r="C164" s="35">
        <v>32</v>
      </c>
      <c r="D164" s="31">
        <v>10</v>
      </c>
      <c r="E164" s="36">
        <v>45335</v>
      </c>
      <c r="F164" s="33">
        <f t="shared" si="2"/>
        <v>320</v>
      </c>
    </row>
    <row r="165" spans="2:6" ht="15.75" thickBot="1" x14ac:dyDescent="0.3">
      <c r="B165" s="34" t="s">
        <v>21</v>
      </c>
      <c r="C165" s="35">
        <v>10</v>
      </c>
      <c r="D165" s="31">
        <v>25</v>
      </c>
      <c r="E165" s="36">
        <v>45336</v>
      </c>
      <c r="F165" s="33">
        <f t="shared" si="2"/>
        <v>250</v>
      </c>
    </row>
    <row r="166" spans="2:6" ht="15.75" thickBot="1" x14ac:dyDescent="0.3">
      <c r="B166" s="34" t="s">
        <v>25</v>
      </c>
      <c r="C166" s="35">
        <v>18</v>
      </c>
      <c r="D166" s="31">
        <v>5</v>
      </c>
      <c r="E166" s="36">
        <v>45338</v>
      </c>
      <c r="F166" s="33">
        <f t="shared" si="2"/>
        <v>90</v>
      </c>
    </row>
    <row r="167" spans="2:6" ht="15.75" thickBot="1" x14ac:dyDescent="0.3">
      <c r="B167" s="34" t="s">
        <v>28</v>
      </c>
      <c r="C167" s="35">
        <v>22</v>
      </c>
      <c r="D167" s="31">
        <v>8</v>
      </c>
      <c r="E167" s="36">
        <v>45339</v>
      </c>
      <c r="F167" s="33">
        <f t="shared" si="2"/>
        <v>176</v>
      </c>
    </row>
    <row r="168" spans="2:6" ht="15.75" thickBot="1" x14ac:dyDescent="0.3">
      <c r="B168" s="34" t="s">
        <v>15</v>
      </c>
      <c r="C168" s="35">
        <v>17</v>
      </c>
      <c r="D168" s="31">
        <v>50</v>
      </c>
      <c r="E168" s="36">
        <v>45340</v>
      </c>
      <c r="F168" s="33">
        <f t="shared" si="2"/>
        <v>850</v>
      </c>
    </row>
    <row r="169" spans="2:6" ht="15.75" thickBot="1" x14ac:dyDescent="0.3">
      <c r="B169" s="34" t="s">
        <v>18</v>
      </c>
      <c r="C169" s="35">
        <v>19</v>
      </c>
      <c r="D169" s="31">
        <v>10</v>
      </c>
      <c r="E169" s="36">
        <v>45341</v>
      </c>
      <c r="F169" s="33">
        <f t="shared" si="2"/>
        <v>190</v>
      </c>
    </row>
    <row r="170" spans="2:6" ht="15.75" thickBot="1" x14ac:dyDescent="0.3">
      <c r="B170" s="34" t="s">
        <v>21</v>
      </c>
      <c r="C170" s="35">
        <v>15</v>
      </c>
      <c r="D170" s="31">
        <v>25</v>
      </c>
      <c r="E170" s="36">
        <v>45343</v>
      </c>
      <c r="F170" s="33">
        <f t="shared" si="2"/>
        <v>375</v>
      </c>
    </row>
    <row r="171" spans="2:6" ht="15.75" thickBot="1" x14ac:dyDescent="0.3">
      <c r="B171" s="34" t="s">
        <v>25</v>
      </c>
      <c r="C171" s="35">
        <v>28</v>
      </c>
      <c r="D171" s="31">
        <v>5</v>
      </c>
      <c r="E171" s="36">
        <v>45344</v>
      </c>
      <c r="F171" s="33">
        <f t="shared" si="2"/>
        <v>140</v>
      </c>
    </row>
    <row r="172" spans="2:6" ht="15.75" thickBot="1" x14ac:dyDescent="0.3">
      <c r="B172" s="34" t="s">
        <v>28</v>
      </c>
      <c r="C172" s="35">
        <v>24</v>
      </c>
      <c r="D172" s="31">
        <v>8</v>
      </c>
      <c r="E172" s="36">
        <v>45345</v>
      </c>
      <c r="F172" s="33">
        <f t="shared" si="2"/>
        <v>192</v>
      </c>
    </row>
    <row r="173" spans="2:6" ht="15.75" thickBot="1" x14ac:dyDescent="0.3">
      <c r="B173" s="34" t="s">
        <v>15</v>
      </c>
      <c r="C173" s="35">
        <v>16</v>
      </c>
      <c r="D173" s="31">
        <v>50</v>
      </c>
      <c r="E173" s="36">
        <v>45347</v>
      </c>
      <c r="F173" s="33">
        <f t="shared" si="2"/>
        <v>800</v>
      </c>
    </row>
    <row r="174" spans="2:6" ht="15.75" thickBot="1" x14ac:dyDescent="0.3">
      <c r="B174" s="34" t="s">
        <v>18</v>
      </c>
      <c r="C174" s="35">
        <v>27</v>
      </c>
      <c r="D174" s="31">
        <v>10</v>
      </c>
      <c r="E174" s="36">
        <v>45348</v>
      </c>
      <c r="F174" s="33">
        <f t="shared" si="2"/>
        <v>270</v>
      </c>
    </row>
    <row r="175" spans="2:6" ht="15.75" thickBot="1" x14ac:dyDescent="0.3">
      <c r="B175" s="34" t="s">
        <v>21</v>
      </c>
      <c r="C175" s="35">
        <v>21</v>
      </c>
      <c r="D175" s="31">
        <v>25</v>
      </c>
      <c r="E175" s="36">
        <v>45349</v>
      </c>
      <c r="F175" s="33">
        <f t="shared" si="2"/>
        <v>525</v>
      </c>
    </row>
    <row r="176" spans="2:6" ht="15.75" thickBot="1" x14ac:dyDescent="0.3">
      <c r="B176" s="34" t="s">
        <v>25</v>
      </c>
      <c r="C176" s="35">
        <v>30</v>
      </c>
      <c r="D176" s="31">
        <v>5</v>
      </c>
      <c r="E176" s="36">
        <v>45350</v>
      </c>
      <c r="F176" s="33">
        <f t="shared" si="2"/>
        <v>150</v>
      </c>
    </row>
    <row r="177" spans="2:6" ht="15.75" thickBot="1" x14ac:dyDescent="0.3">
      <c r="B177" s="34" t="s">
        <v>28</v>
      </c>
      <c r="C177" s="35">
        <v>26</v>
      </c>
      <c r="D177" s="31">
        <v>8</v>
      </c>
      <c r="E177" s="36">
        <v>45352</v>
      </c>
      <c r="F177" s="33">
        <f t="shared" si="2"/>
        <v>208</v>
      </c>
    </row>
    <row r="178" spans="2:6" ht="15.75" thickBot="1" x14ac:dyDescent="0.3">
      <c r="B178" s="34" t="s">
        <v>15</v>
      </c>
      <c r="C178" s="35">
        <v>14</v>
      </c>
      <c r="D178" s="31">
        <v>50</v>
      </c>
      <c r="E178" s="36">
        <v>45353</v>
      </c>
      <c r="F178" s="33">
        <f t="shared" si="2"/>
        <v>700</v>
      </c>
    </row>
    <row r="179" spans="2:6" ht="15.75" thickBot="1" x14ac:dyDescent="0.3">
      <c r="B179" s="34" t="s">
        <v>18</v>
      </c>
      <c r="C179" s="35">
        <v>20</v>
      </c>
      <c r="D179" s="31">
        <v>10</v>
      </c>
      <c r="E179" s="36">
        <v>45354</v>
      </c>
      <c r="F179" s="33">
        <f t="shared" si="2"/>
        <v>200</v>
      </c>
    </row>
    <row r="180" spans="2:6" ht="15.75" thickBot="1" x14ac:dyDescent="0.3">
      <c r="B180" s="34" t="s">
        <v>21</v>
      </c>
      <c r="C180" s="35">
        <v>17</v>
      </c>
      <c r="D180" s="31">
        <v>25</v>
      </c>
      <c r="E180" s="36">
        <v>45355</v>
      </c>
      <c r="F180" s="33">
        <f t="shared" si="2"/>
        <v>425</v>
      </c>
    </row>
    <row r="181" spans="2:6" ht="15.75" thickBot="1" x14ac:dyDescent="0.3">
      <c r="B181" s="34" t="s">
        <v>25</v>
      </c>
      <c r="C181" s="35">
        <v>19</v>
      </c>
      <c r="D181" s="31">
        <v>5</v>
      </c>
      <c r="E181" s="36">
        <v>45356</v>
      </c>
      <c r="F181" s="33">
        <f t="shared" si="2"/>
        <v>95</v>
      </c>
    </row>
    <row r="182" spans="2:6" ht="15.75" thickBot="1" x14ac:dyDescent="0.3">
      <c r="B182" s="34" t="s">
        <v>28</v>
      </c>
      <c r="C182" s="35">
        <v>32</v>
      </c>
      <c r="D182" s="31">
        <v>8</v>
      </c>
      <c r="E182" s="36">
        <v>45357</v>
      </c>
      <c r="F182" s="33">
        <f t="shared" si="2"/>
        <v>256</v>
      </c>
    </row>
    <row r="183" spans="2:6" ht="15.75" thickBot="1" x14ac:dyDescent="0.3">
      <c r="B183" s="34" t="s">
        <v>15</v>
      </c>
      <c r="C183" s="35">
        <v>12</v>
      </c>
      <c r="D183" s="31">
        <v>50</v>
      </c>
      <c r="E183" s="36">
        <v>45358</v>
      </c>
      <c r="F183" s="33">
        <f t="shared" si="2"/>
        <v>600</v>
      </c>
    </row>
    <row r="184" spans="2:6" ht="15.75" thickBot="1" x14ac:dyDescent="0.3">
      <c r="B184" s="34" t="s">
        <v>18</v>
      </c>
      <c r="C184" s="35">
        <v>25</v>
      </c>
      <c r="D184" s="31">
        <v>10</v>
      </c>
      <c r="E184" s="36">
        <v>45359</v>
      </c>
      <c r="F184" s="33">
        <f t="shared" si="2"/>
        <v>250</v>
      </c>
    </row>
    <row r="185" spans="2:6" ht="15.75" thickBot="1" x14ac:dyDescent="0.3">
      <c r="B185" s="11"/>
      <c r="C185" s="11"/>
      <c r="D185" s="11"/>
      <c r="E185" s="11"/>
    </row>
    <row r="186" spans="2:6" ht="15.75" thickBot="1" x14ac:dyDescent="0.3">
      <c r="B186" s="11"/>
      <c r="C186" s="11"/>
      <c r="D186" s="11"/>
      <c r="E186" s="1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Swata Ghosh</dc:creator>
  <cp:lastModifiedBy>swati</cp:lastModifiedBy>
  <dcterms:created xsi:type="dcterms:W3CDTF">2025-11-13T06:21:36Z</dcterms:created>
  <dcterms:modified xsi:type="dcterms:W3CDTF">2025-11-13T11:45:16Z</dcterms:modified>
</cp:coreProperties>
</file>